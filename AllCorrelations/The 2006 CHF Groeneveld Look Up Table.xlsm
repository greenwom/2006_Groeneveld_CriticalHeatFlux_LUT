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195" windowWidth="19155" windowHeight="8415"/>
  </bookViews>
  <sheets>
    <sheet name="2006 LUT" sheetId="1" r:id="rId1"/>
    <sheet name="Correction Factors K" sheetId="2" r:id="rId2"/>
    <sheet name="Sheet3" sheetId="3" r:id="rId3"/>
  </sheets>
  <definedNames>
    <definedName name="alpha">'Correction Factors K'!$Z$26</definedName>
    <definedName name="alpha_h">'Correction Factors K'!$Z$25</definedName>
    <definedName name="C_1">'Correction Factors K'!$Y$28</definedName>
    <definedName name="d">'Correction Factors K'!$Z$6</definedName>
    <definedName name="delta">'Correction Factors K'!$Z$24</definedName>
    <definedName name="Dhyd">'Correction Factors K'!$Z$5</definedName>
    <definedName name="f_L">'Correction Factors K'!$Z$17</definedName>
    <definedName name="G">'Correction Factors K'!$Z$19</definedName>
    <definedName name="gravity">'Correction Factors K'!$Z$18</definedName>
    <definedName name="K">'Correction Factors K'!$Z$9</definedName>
    <definedName name="L">'Correction Factors K'!$Z$10</definedName>
    <definedName name="Lsp">'Correction Factors K'!$Z$8</definedName>
    <definedName name="Pitch">'Correction Factors K'!$Z$7</definedName>
    <definedName name="q_BLA">'Correction Factors K'!$Z$14</definedName>
    <definedName name="q_local">'Correction Factors K'!$Z$13</definedName>
    <definedName name="qz_avg">'Correction Factors K'!$Z$15</definedName>
    <definedName name="qz_max">'Correction Factors K'!$Z$16</definedName>
    <definedName name="rho_f">'Correction Factors K'!$Z$11</definedName>
    <definedName name="rho_g">'Correction Factors K'!$Z$12</definedName>
    <definedName name="T_1">'Correction Factors K'!$Z$27</definedName>
    <definedName name="X">'Correction Factors K'!$Z$20</definedName>
  </definedNames>
  <calcPr calcId="145621"/>
</workbook>
</file>

<file path=xl/calcChain.xml><?xml version="1.0" encoding="utf-8"?>
<calcChain xmlns="http://schemas.openxmlformats.org/spreadsheetml/2006/main">
  <c r="U5" i="2" l="1"/>
  <c r="Z20" i="2"/>
  <c r="Z25" i="2" s="1"/>
  <c r="Z19" i="2"/>
  <c r="U7" i="2" s="1"/>
  <c r="U8" i="2" l="1"/>
  <c r="U6" i="2"/>
  <c r="Z27" i="2"/>
  <c r="U11" i="2" s="1"/>
  <c r="U9" i="2"/>
  <c r="U12" i="2"/>
  <c r="Z24" i="2"/>
  <c r="U10" i="2" l="1"/>
  <c r="Z28" i="2" l="1"/>
  <c r="P11" i="3" l="1"/>
</calcChain>
</file>

<file path=xl/sharedStrings.xml><?xml version="1.0" encoding="utf-8"?>
<sst xmlns="http://schemas.openxmlformats.org/spreadsheetml/2006/main" count="120" uniqueCount="85">
  <si>
    <t>Nuclear Engineering Design</t>
  </si>
  <si>
    <t>Pressure</t>
  </si>
  <si>
    <t>Mass Flux</t>
  </si>
  <si>
    <t>[MPa]</t>
  </si>
  <si>
    <t>X--&gt;</t>
  </si>
  <si>
    <r>
      <t>CHF [kW/m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</si>
  <si>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[kg/m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s]</t>
    </r>
  </si>
  <si>
    <t>Legend</t>
  </si>
  <si>
    <t>Derived from experimental data and therefore have the least uncertainty</t>
  </si>
  <si>
    <t>Calculated based on reasonable prediction methods neighboring experimental data conditions</t>
  </si>
  <si>
    <t>Limited Quality Region (LQR) where rapid changes in CHF versus quality curve can be observed</t>
  </si>
  <si>
    <r>
      <t xml:space="preserve">CHF values impossible to obtain. Used to improve interpolation accuracy of other regions. Do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use for extrapolation</t>
    </r>
  </si>
  <si>
    <t>Correction Factors Applicable to the CHF LUT</t>
  </si>
  <si>
    <t>2006 Critical Heat Flux Groeneveld Look Up Tables (LUT)</t>
  </si>
  <si>
    <t>CHF</t>
  </si>
  <si>
    <t>Mpa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</si>
  <si>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</si>
  <si>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kW/m</t>
    </r>
    <r>
      <rPr>
        <vertAlign val="superscript"/>
        <sz val="11"/>
        <color theme="1"/>
        <rFont val="Calibri"/>
        <family val="2"/>
        <scheme val="minor"/>
      </rPr>
      <t>2</t>
    </r>
  </si>
  <si>
    <t>Biasi</t>
  </si>
  <si>
    <t>CHF [kW/m2]</t>
  </si>
  <si>
    <t>Tsat (°C)</t>
  </si>
  <si>
    <t>T test for quality</t>
  </si>
  <si>
    <t>Groeneveld</t>
  </si>
  <si>
    <t>Interpolation Parameters based on user input</t>
  </si>
  <si>
    <t>Threat Level</t>
  </si>
  <si>
    <t>NURETH 9: A General Method of PredictingCritical Heat Flux in Advanced Water Cooled Reactors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</si>
  <si>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</si>
  <si>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</si>
  <si>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</si>
  <si>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</si>
  <si>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</si>
  <si>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</si>
  <si>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</si>
  <si>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t>Correction Factor Based on Chart Criteria</t>
  </si>
  <si>
    <t>m</t>
  </si>
  <si>
    <t>δ</t>
  </si>
  <si>
    <t>G</t>
  </si>
  <si>
    <t>α</t>
  </si>
  <si>
    <t>g</t>
  </si>
  <si>
    <r>
      <t>L</t>
    </r>
    <r>
      <rPr>
        <vertAlign val="subscript"/>
        <sz val="11"/>
        <color theme="1"/>
        <rFont val="Calibri"/>
        <family val="2"/>
      </rPr>
      <t>sp</t>
    </r>
  </si>
  <si>
    <r>
      <t>T</t>
    </r>
    <r>
      <rPr>
        <vertAlign val="subscript"/>
        <sz val="11"/>
        <color theme="1"/>
        <rFont val="Calibri"/>
        <family val="2"/>
      </rPr>
      <t>1</t>
    </r>
  </si>
  <si>
    <r>
      <t>f</t>
    </r>
    <r>
      <rPr>
        <vertAlign val="subscript"/>
        <sz val="11"/>
        <color theme="1"/>
        <rFont val="Calibri"/>
        <family val="2"/>
      </rPr>
      <t>L</t>
    </r>
  </si>
  <si>
    <t>Pitch</t>
  </si>
  <si>
    <t>Heated Length</t>
  </si>
  <si>
    <t>Required Input Variables for Correction Factors</t>
  </si>
  <si>
    <t>Values Calculated from Input Variables for Use in Correction Factors</t>
  </si>
  <si>
    <t>δ is gap size</t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</si>
  <si>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</si>
  <si>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1</t>
    </r>
  </si>
  <si>
    <t>Gravitational Constant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</si>
  <si>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</si>
  <si>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</si>
  <si>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</si>
  <si>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Saturated Liquid Density</t>
  </si>
  <si>
    <t>Saturated Vapor Density</t>
  </si>
  <si>
    <t>Void Fraction</t>
  </si>
  <si>
    <t>Void Fraction from Premoli et al. correlation (1970)</t>
  </si>
  <si>
    <t>Local Quality</t>
  </si>
  <si>
    <t>Pressure loss coefficient of the spacing device</t>
  </si>
  <si>
    <r>
      <t>D</t>
    </r>
    <r>
      <rPr>
        <vertAlign val="subscript"/>
        <sz val="11"/>
        <color theme="1"/>
        <rFont val="Calibri"/>
        <family val="2"/>
        <scheme val="minor"/>
      </rPr>
      <t>hyd</t>
    </r>
  </si>
  <si>
    <r>
      <t>D</t>
    </r>
    <r>
      <rPr>
        <vertAlign val="subscript"/>
        <sz val="11"/>
        <color theme="1"/>
        <rFont val="Calibri"/>
        <family val="2"/>
      </rPr>
      <t>htr</t>
    </r>
  </si>
  <si>
    <r>
      <t>K</t>
    </r>
    <r>
      <rPr>
        <vertAlign val="subscript"/>
        <sz val="11"/>
        <color theme="1"/>
        <rFont val="Calibri"/>
        <family val="2"/>
      </rPr>
      <t>g</t>
    </r>
  </si>
  <si>
    <r>
      <t>L</t>
    </r>
    <r>
      <rPr>
        <vertAlign val="subscript"/>
        <sz val="11"/>
        <color theme="1"/>
        <rFont val="Calibri"/>
        <family val="2"/>
      </rPr>
      <t>htd</t>
    </r>
  </si>
  <si>
    <r>
      <t>ρ</t>
    </r>
    <r>
      <rPr>
        <vertAlign val="subscript"/>
        <sz val="11"/>
        <color theme="1"/>
        <rFont val="Calibri"/>
        <family val="2"/>
      </rPr>
      <t>fsat</t>
    </r>
  </si>
  <si>
    <r>
      <t>ρ</t>
    </r>
    <r>
      <rPr>
        <vertAlign val="subscript"/>
        <sz val="11"/>
        <color theme="1"/>
        <rFont val="Calibri"/>
        <family val="2"/>
      </rPr>
      <t>gsat</t>
    </r>
  </si>
  <si>
    <r>
      <t>q</t>
    </r>
    <r>
      <rPr>
        <vertAlign val="subscript"/>
        <sz val="11"/>
        <color theme="1"/>
        <rFont val="Calibri"/>
        <family val="2"/>
      </rPr>
      <t>local</t>
    </r>
  </si>
  <si>
    <r>
      <t>q</t>
    </r>
    <r>
      <rPr>
        <vertAlign val="subscript"/>
        <sz val="11"/>
        <color theme="1"/>
        <rFont val="Calibri"/>
        <family val="2"/>
      </rPr>
      <t>BLA</t>
    </r>
  </si>
  <si>
    <r>
      <t>q</t>
    </r>
    <r>
      <rPr>
        <vertAlign val="subscript"/>
        <sz val="11"/>
        <color theme="1"/>
        <rFont val="Calibri"/>
        <family val="2"/>
      </rPr>
      <t>rcavg</t>
    </r>
  </si>
  <si>
    <r>
      <t>q</t>
    </r>
    <r>
      <rPr>
        <vertAlign val="subscript"/>
        <sz val="11"/>
        <color theme="1"/>
        <rFont val="Calibri"/>
        <family val="2"/>
      </rPr>
      <t>rcmax</t>
    </r>
  </si>
  <si>
    <t>Subchannel Hydraulic Diameter</t>
  </si>
  <si>
    <t>Diameter of Heater Element</t>
  </si>
  <si>
    <t>Center Distance between Heating Elements</t>
  </si>
  <si>
    <t>Heat Flux at CHF Location</t>
  </si>
  <si>
    <t>Boiling Length Average Heat Flux</t>
  </si>
  <si>
    <t>Average Radial/Circumferential Heat Flux</t>
  </si>
  <si>
    <t>Maximum Radial/Circumferential Heat Flux</t>
  </si>
  <si>
    <t>Friction Factor of the Channel</t>
  </si>
  <si>
    <t>x</t>
  </si>
  <si>
    <t>Thermodynamic Quality at CHF Location</t>
  </si>
  <si>
    <t>Channel Mass Flux</t>
  </si>
  <si>
    <t>Equation factor for K(7)</t>
  </si>
  <si>
    <t>Equation factor for K(8)</t>
  </si>
  <si>
    <r>
      <t>K</t>
    </r>
    <r>
      <rPr>
        <vertAlign val="subscript"/>
        <sz val="11"/>
        <color theme="1"/>
        <rFont val="Calibri"/>
        <family val="2"/>
        <scheme val="minor"/>
      </rPr>
      <t>8</t>
    </r>
  </si>
  <si>
    <t>Blue</t>
  </si>
  <si>
    <t>Distance to Upstream Grid Spacer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</si>
</sst>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CFD0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/>
    <xf numFmtId="0" fontId="0" fillId="0" borderId="1" xfId="0" applyBorder="1"/>
    <xf numFmtId="0" fontId="0" fillId="0" borderId="6" xfId="0" applyBorder="1" applyAlignment="1">
      <alignment horizontal="center"/>
    </xf>
    <xf numFmtId="0" fontId="0" fillId="0" borderId="0" xfId="0" applyAlignment="1"/>
    <xf numFmtId="0" fontId="0" fillId="0" borderId="10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2" fontId="3" fillId="0" borderId="1" xfId="0" applyNumberFormat="1" applyFon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6" fillId="0" borderId="0" xfId="0" applyFont="1" applyAlignment="1"/>
    <xf numFmtId="0" fontId="0" fillId="0" borderId="0" xfId="0" quotePrefix="1" applyAlignment="1"/>
    <xf numFmtId="0" fontId="0" fillId="0" borderId="0" xfId="0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Fill="1" applyAlignment="1"/>
    <xf numFmtId="0" fontId="0" fillId="0" borderId="0" xfId="0" applyFill="1"/>
    <xf numFmtId="0" fontId="11" fillId="0" borderId="0" xfId="0" applyFont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4" xfId="0" applyBorder="1"/>
    <xf numFmtId="0" fontId="6" fillId="0" borderId="11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0" xfId="0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CFD03"/>
      <color rgb="FFD0FC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80-400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Sheet3!$C$9:$E$9</c:f>
              <c:numCache>
                <c:formatCode>General</c:formatCode>
                <c:ptCount val="3"/>
                <c:pt idx="0">
                  <c:v>1105</c:v>
                </c:pt>
                <c:pt idx="1">
                  <c:v>1013</c:v>
                </c:pt>
                <c:pt idx="2">
                  <c:v>967.3</c:v>
                </c:pt>
              </c:numCache>
            </c:numRef>
          </c:yVal>
          <c:smooth val="0"/>
        </c:ser>
        <c:ser>
          <c:idx val="1"/>
          <c:order val="1"/>
          <c:tx>
            <c:v>80-800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Sheet3!$C$10:$E$10</c:f>
              <c:numCache>
                <c:formatCode>General</c:formatCode>
                <c:ptCount val="3"/>
                <c:pt idx="0">
                  <c:v>1776</c:v>
                </c:pt>
                <c:pt idx="1">
                  <c:v>1629</c:v>
                </c:pt>
                <c:pt idx="2">
                  <c:v>1555</c:v>
                </c:pt>
              </c:numCache>
            </c:numRef>
          </c:yVal>
          <c:smooth val="0"/>
        </c:ser>
        <c:ser>
          <c:idx val="2"/>
          <c:order val="2"/>
          <c:tx>
            <c:v>80-1200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Sheet3!$C$11:$E$11</c:f>
              <c:numCache>
                <c:formatCode>General</c:formatCode>
                <c:ptCount val="3"/>
                <c:pt idx="0">
                  <c:v>2102</c:v>
                </c:pt>
                <c:pt idx="1">
                  <c:v>1928</c:v>
                </c:pt>
                <c:pt idx="2">
                  <c:v>1841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88864"/>
        <c:axId val="182790400"/>
      </c:scatterChart>
      <c:valAx>
        <c:axId val="182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90400"/>
        <c:crosses val="autoZero"/>
        <c:crossBetween val="midCat"/>
      </c:valAx>
      <c:valAx>
        <c:axId val="1827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8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95250</xdr:rowOff>
        </xdr:from>
        <xdr:to>
          <xdr:col>17</xdr:col>
          <xdr:colOff>438150</xdr:colOff>
          <xdr:row>2</xdr:row>
          <xdr:rowOff>190500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2</xdr:row>
      <xdr:rowOff>66675</xdr:rowOff>
    </xdr:from>
    <xdr:to>
      <xdr:col>18</xdr:col>
      <xdr:colOff>246690</xdr:colOff>
      <xdr:row>43</xdr:row>
      <xdr:rowOff>184324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638175"/>
          <a:ext cx="7685715" cy="9066667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1</xdr:row>
      <xdr:rowOff>180975</xdr:rowOff>
    </xdr:from>
    <xdr:to>
      <xdr:col>5</xdr:col>
      <xdr:colOff>314325</xdr:colOff>
      <xdr:row>9</xdr:row>
      <xdr:rowOff>104775</xdr:rowOff>
    </xdr:to>
    <xdr:sp macro="" textlink="">
      <xdr:nvSpPr>
        <xdr:cNvPr id="3" name="TextBox 2"/>
        <xdr:cNvSpPr txBox="1"/>
      </xdr:nvSpPr>
      <xdr:spPr>
        <a:xfrm>
          <a:off x="1114425" y="514350"/>
          <a:ext cx="2247900" cy="1962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Dhy for this K4 is the heated</a:t>
          </a:r>
          <a:r>
            <a:rPr lang="en-US" sz="1100" baseline="0"/>
            <a:t> diameter as correlation is based on 8 mm tube heated from the periphery.</a:t>
          </a:r>
        </a:p>
        <a:p>
          <a:r>
            <a:rPr lang="en-US" sz="1100" baseline="0"/>
            <a:t>Dhy = Dheated = 4*Aflow/heated perimeter</a:t>
          </a:r>
          <a:endParaRPr lang="en-US" sz="1100"/>
        </a:p>
      </xdr:txBody>
    </xdr:sp>
    <xdr:clientData/>
  </xdr:twoCellAnchor>
  <xdr:oneCellAnchor>
    <xdr:from>
      <xdr:col>3</xdr:col>
      <xdr:colOff>447675</xdr:colOff>
      <xdr:row>12</xdr:row>
      <xdr:rowOff>28575</xdr:rowOff>
    </xdr:from>
    <xdr:ext cx="1666875" cy="1000125"/>
    <xdr:sp macro="" textlink="">
      <xdr:nvSpPr>
        <xdr:cNvPr id="5" name="TextBox 4"/>
        <xdr:cNvSpPr txBox="1"/>
      </xdr:nvSpPr>
      <xdr:spPr>
        <a:xfrm>
          <a:off x="2276475" y="3086100"/>
          <a:ext cx="1666875" cy="10001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Note if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used,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1 according to Groeneveld as the heated length factor is included in the spacer treatment..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95250</xdr:colOff>
      <xdr:row>15</xdr:row>
      <xdr:rowOff>4762</xdr:rowOff>
    </xdr:from>
    <xdr:to>
      <xdr:col>23</xdr:col>
      <xdr:colOff>400050</xdr:colOff>
      <xdr:row>29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340"/>
  <sheetViews>
    <sheetView tabSelected="1" topLeftCell="J1" zoomScale="85" zoomScaleNormal="85" workbookViewId="0">
      <pane ySplit="11" topLeftCell="A12" activePane="bottomLeft" state="frozen"/>
      <selection pane="bottomLeft" activeCell="P4" sqref="P4:P6"/>
    </sheetView>
  </sheetViews>
  <sheetFormatPr defaultRowHeight="15" x14ac:dyDescent="0.25"/>
  <cols>
    <col min="1" max="1" width="11.7109375" style="1" bestFit="1" customWidth="1"/>
    <col min="2" max="2" width="12.85546875" style="1" bestFit="1" customWidth="1"/>
    <col min="3" max="14" width="9.140625" style="1"/>
    <col min="15" max="15" width="12.5703125" style="1" bestFit="1" customWidth="1"/>
    <col min="16" max="16" width="9.85546875" style="1" bestFit="1" customWidth="1"/>
    <col min="17" max="19" width="9.140625" style="1"/>
    <col min="20" max="20" width="10" style="1" bestFit="1" customWidth="1"/>
    <col min="21" max="16384" width="9.140625" style="1"/>
  </cols>
  <sheetData>
    <row r="1" spans="1:25" ht="44.25" customHeight="1" x14ac:dyDescent="0.25">
      <c r="A1" s="78" t="s">
        <v>13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5" ht="18.75" customHeight="1" x14ac:dyDescent="0.25">
      <c r="B2" s="21"/>
      <c r="C2" s="21"/>
      <c r="D2" s="21"/>
      <c r="E2" s="21"/>
      <c r="F2" s="21"/>
      <c r="G2" s="21"/>
      <c r="H2" s="82" t="s">
        <v>0</v>
      </c>
      <c r="I2" s="82"/>
      <c r="J2" s="82"/>
      <c r="K2" s="82"/>
      <c r="L2" s="82"/>
      <c r="M2" s="82"/>
      <c r="N2" s="82"/>
      <c r="O2" s="82"/>
      <c r="P2" s="82"/>
      <c r="Q2" s="82"/>
      <c r="R2" s="21"/>
      <c r="S2" s="83" t="s">
        <v>23</v>
      </c>
      <c r="T2" s="83"/>
      <c r="U2" s="18" t="s">
        <v>1</v>
      </c>
      <c r="V2" s="3" t="s">
        <v>2</v>
      </c>
      <c r="W2" s="85" t="s">
        <v>19</v>
      </c>
      <c r="X2" s="86"/>
    </row>
    <row r="3" spans="1:25" ht="19.5" customHeight="1" thickBot="1" x14ac:dyDescent="0.3">
      <c r="A3" s="81" t="s">
        <v>7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20"/>
      <c r="S3" s="84"/>
      <c r="T3" s="84"/>
      <c r="U3" s="18" t="s">
        <v>3</v>
      </c>
      <c r="V3" s="3" t="s">
        <v>6</v>
      </c>
      <c r="W3" s="87"/>
      <c r="X3" s="88"/>
    </row>
    <row r="4" spans="1:25" ht="15.75" thickTop="1" x14ac:dyDescent="0.25">
      <c r="A4" s="10"/>
      <c r="B4" s="79" t="s">
        <v>8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O4" s="1" t="s">
        <v>1</v>
      </c>
      <c r="P4" s="44">
        <v>16</v>
      </c>
      <c r="Q4" s="24" t="s">
        <v>15</v>
      </c>
      <c r="S4" s="84"/>
      <c r="T4" s="84"/>
      <c r="U4" s="4"/>
      <c r="V4" s="5" t="s">
        <v>4</v>
      </c>
      <c r="W4" s="23">
        <v>0.6</v>
      </c>
      <c r="X4" s="25">
        <v>0.7</v>
      </c>
    </row>
    <row r="5" spans="1:25" ht="17.25" customHeight="1" x14ac:dyDescent="0.25">
      <c r="A5" s="9"/>
      <c r="B5" s="79" t="s">
        <v>9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O5" s="1" t="s">
        <v>2</v>
      </c>
      <c r="P5" s="45">
        <v>1500</v>
      </c>
      <c r="Q5" s="19" t="s">
        <v>16</v>
      </c>
      <c r="S5" s="84"/>
      <c r="T5" s="84"/>
      <c r="U5" s="1">
        <v>10</v>
      </c>
      <c r="V5" s="22">
        <v>500</v>
      </c>
      <c r="W5" s="74">
        <v>1528</v>
      </c>
      <c r="X5" s="51">
        <v>1203</v>
      </c>
    </row>
    <row r="6" spans="1:25" x14ac:dyDescent="0.25">
      <c r="A6" s="7"/>
      <c r="B6" s="79" t="s">
        <v>11</v>
      </c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O6" s="1" t="s">
        <v>57</v>
      </c>
      <c r="P6" s="44">
        <v>0.14162015056961363</v>
      </c>
      <c r="S6" s="84"/>
      <c r="T6" s="84"/>
      <c r="V6" s="6">
        <v>750</v>
      </c>
      <c r="W6" s="50">
        <v>1080</v>
      </c>
      <c r="X6" s="75">
        <v>713</v>
      </c>
    </row>
    <row r="7" spans="1:25" ht="17.25" x14ac:dyDescent="0.25">
      <c r="A7" s="8"/>
      <c r="B7" s="79" t="s">
        <v>10</v>
      </c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O7" s="1" t="s">
        <v>14</v>
      </c>
      <c r="P7" s="8">
        <v>1330.8490137595286</v>
      </c>
      <c r="Q7" s="1" t="s">
        <v>17</v>
      </c>
      <c r="S7" s="84"/>
      <c r="T7" s="84"/>
      <c r="U7" s="1">
        <v>12</v>
      </c>
      <c r="V7" s="6">
        <v>500</v>
      </c>
      <c r="W7" s="50">
        <v>1011</v>
      </c>
      <c r="X7" s="75">
        <v>423</v>
      </c>
    </row>
    <row r="8" spans="1:25" x14ac:dyDescent="0.25">
      <c r="O8" s="1" t="s">
        <v>24</v>
      </c>
      <c r="P8" s="1" t="s">
        <v>83</v>
      </c>
      <c r="S8" s="84"/>
      <c r="T8" s="84"/>
      <c r="V8" s="6">
        <v>750</v>
      </c>
      <c r="W8" s="76">
        <v>312</v>
      </c>
      <c r="X8" s="52">
        <v>251</v>
      </c>
    </row>
    <row r="9" spans="1:25" s="2" customFormat="1" ht="17.25" customHeight="1" x14ac:dyDescent="0.25">
      <c r="A9" s="26" t="s">
        <v>1</v>
      </c>
      <c r="B9" s="27" t="s">
        <v>2</v>
      </c>
      <c r="C9" s="77" t="s">
        <v>5</v>
      </c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</row>
    <row r="10" spans="1:25" s="2" customFormat="1" ht="17.25" x14ac:dyDescent="0.25">
      <c r="A10" s="26" t="s">
        <v>3</v>
      </c>
      <c r="B10" s="27" t="s">
        <v>6</v>
      </c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</row>
    <row r="11" spans="1:25" s="2" customFormat="1" x14ac:dyDescent="0.25">
      <c r="A11" s="28"/>
      <c r="B11" s="29" t="s">
        <v>4</v>
      </c>
      <c r="C11" s="30">
        <v>-0.5</v>
      </c>
      <c r="D11" s="30">
        <v>-0.4</v>
      </c>
      <c r="E11" s="30">
        <v>-0.3</v>
      </c>
      <c r="F11" s="30">
        <v>-0.2</v>
      </c>
      <c r="G11" s="30">
        <v>-0.15</v>
      </c>
      <c r="H11" s="30">
        <v>-0.1</v>
      </c>
      <c r="I11" s="30">
        <v>-0.05</v>
      </c>
      <c r="J11" s="30">
        <v>0</v>
      </c>
      <c r="K11" s="30">
        <v>0.05</v>
      </c>
      <c r="L11" s="30">
        <v>0.1</v>
      </c>
      <c r="M11" s="30">
        <v>0.15</v>
      </c>
      <c r="N11" s="30">
        <v>0.2</v>
      </c>
      <c r="O11" s="30">
        <v>0.25</v>
      </c>
      <c r="P11" s="30">
        <v>0.3</v>
      </c>
      <c r="Q11" s="30">
        <v>0.35</v>
      </c>
      <c r="R11" s="30">
        <v>0.4</v>
      </c>
      <c r="S11" s="30">
        <v>0.45</v>
      </c>
      <c r="T11" s="30">
        <v>0.5</v>
      </c>
      <c r="U11" s="30">
        <v>0.6</v>
      </c>
      <c r="V11" s="30">
        <v>0.7</v>
      </c>
      <c r="W11" s="30">
        <v>0.8</v>
      </c>
      <c r="X11" s="30">
        <v>0.9</v>
      </c>
      <c r="Y11" s="30">
        <v>1</v>
      </c>
    </row>
    <row r="12" spans="1:25" x14ac:dyDescent="0.25">
      <c r="A12" s="31">
        <v>0.1</v>
      </c>
      <c r="B12" s="32">
        <v>0</v>
      </c>
      <c r="C12" s="33">
        <v>8111</v>
      </c>
      <c r="D12" s="33">
        <v>7252</v>
      </c>
      <c r="E12" s="33">
        <v>6302</v>
      </c>
      <c r="F12" s="33">
        <v>4802</v>
      </c>
      <c r="G12" s="34">
        <v>4086</v>
      </c>
      <c r="H12" s="34">
        <v>3057</v>
      </c>
      <c r="I12" s="34">
        <v>1990</v>
      </c>
      <c r="J12" s="34">
        <v>1142</v>
      </c>
      <c r="K12" s="34">
        <v>637</v>
      </c>
      <c r="L12" s="34">
        <v>415</v>
      </c>
      <c r="M12" s="34">
        <v>284</v>
      </c>
      <c r="N12" s="34">
        <v>223</v>
      </c>
      <c r="O12" s="34">
        <v>188</v>
      </c>
      <c r="P12" s="34">
        <v>165</v>
      </c>
      <c r="Q12" s="34">
        <v>152</v>
      </c>
      <c r="R12" s="34">
        <v>142</v>
      </c>
      <c r="S12" s="34">
        <v>133</v>
      </c>
      <c r="T12" s="34">
        <v>123</v>
      </c>
      <c r="U12" s="35">
        <v>114</v>
      </c>
      <c r="V12" s="35">
        <v>110</v>
      </c>
      <c r="W12" s="35">
        <v>96</v>
      </c>
      <c r="X12" s="35">
        <v>55</v>
      </c>
      <c r="Y12" s="36">
        <v>0</v>
      </c>
    </row>
    <row r="13" spans="1:25" x14ac:dyDescent="0.25">
      <c r="A13" s="31">
        <v>0.1</v>
      </c>
      <c r="B13" s="32">
        <v>50</v>
      </c>
      <c r="C13" s="33">
        <v>8317</v>
      </c>
      <c r="D13" s="33">
        <v>7271</v>
      </c>
      <c r="E13" s="33">
        <v>6326</v>
      </c>
      <c r="F13" s="33">
        <v>5035</v>
      </c>
      <c r="G13" s="34">
        <v>4236</v>
      </c>
      <c r="H13" s="34">
        <v>3453</v>
      </c>
      <c r="I13" s="34">
        <v>2420</v>
      </c>
      <c r="J13" s="34">
        <v>1570</v>
      </c>
      <c r="K13" s="34">
        <v>1011</v>
      </c>
      <c r="L13" s="34">
        <v>784</v>
      </c>
      <c r="M13" s="34">
        <v>641</v>
      </c>
      <c r="N13" s="34">
        <v>587</v>
      </c>
      <c r="O13" s="34">
        <v>553</v>
      </c>
      <c r="P13" s="34">
        <v>531</v>
      </c>
      <c r="Q13" s="35">
        <v>475</v>
      </c>
      <c r="R13" s="35">
        <v>443</v>
      </c>
      <c r="S13" s="35">
        <v>419</v>
      </c>
      <c r="T13" s="35">
        <v>387</v>
      </c>
      <c r="U13" s="35">
        <v>347</v>
      </c>
      <c r="V13" s="35">
        <v>277</v>
      </c>
      <c r="W13" s="35">
        <v>239</v>
      </c>
      <c r="X13" s="35">
        <v>204</v>
      </c>
      <c r="Y13" s="37">
        <v>0</v>
      </c>
    </row>
    <row r="14" spans="1:25" x14ac:dyDescent="0.25">
      <c r="A14" s="31">
        <v>0.1</v>
      </c>
      <c r="B14" s="32">
        <v>100</v>
      </c>
      <c r="C14" s="33">
        <v>8390</v>
      </c>
      <c r="D14" s="33">
        <v>7295</v>
      </c>
      <c r="E14" s="33">
        <v>6371</v>
      </c>
      <c r="F14" s="33">
        <v>5322</v>
      </c>
      <c r="G14" s="34">
        <v>4586</v>
      </c>
      <c r="H14" s="34">
        <v>3640</v>
      </c>
      <c r="I14" s="34">
        <v>2942</v>
      </c>
      <c r="J14" s="34">
        <v>2103</v>
      </c>
      <c r="K14" s="34">
        <v>1558</v>
      </c>
      <c r="L14" s="34">
        <v>1275</v>
      </c>
      <c r="M14" s="35">
        <v>1013</v>
      </c>
      <c r="N14" s="35">
        <v>885</v>
      </c>
      <c r="O14" s="35">
        <v>847</v>
      </c>
      <c r="P14" s="35">
        <v>811</v>
      </c>
      <c r="Q14" s="35">
        <v>789</v>
      </c>
      <c r="R14" s="35">
        <v>758</v>
      </c>
      <c r="S14" s="35">
        <v>745</v>
      </c>
      <c r="T14" s="35">
        <v>715</v>
      </c>
      <c r="U14" s="35">
        <v>700</v>
      </c>
      <c r="V14" s="35">
        <v>600</v>
      </c>
      <c r="W14" s="35">
        <v>459</v>
      </c>
      <c r="X14" s="35">
        <v>359</v>
      </c>
      <c r="Y14" s="37">
        <v>0</v>
      </c>
    </row>
    <row r="15" spans="1:25" x14ac:dyDescent="0.25">
      <c r="A15" s="31">
        <v>0.1</v>
      </c>
      <c r="B15" s="32">
        <v>300</v>
      </c>
      <c r="C15" s="33">
        <v>10698</v>
      </c>
      <c r="D15" s="33">
        <v>9288</v>
      </c>
      <c r="E15" s="33">
        <v>7795</v>
      </c>
      <c r="F15" s="33">
        <v>6020</v>
      </c>
      <c r="G15" s="34">
        <v>5009</v>
      </c>
      <c r="H15" s="34">
        <v>3865</v>
      </c>
      <c r="I15" s="34">
        <v>3196</v>
      </c>
      <c r="J15" s="34">
        <v>2479</v>
      </c>
      <c r="K15" s="34">
        <v>1961</v>
      </c>
      <c r="L15" s="34">
        <v>1707</v>
      </c>
      <c r="M15" s="35">
        <v>1317</v>
      </c>
      <c r="N15" s="35">
        <v>1177</v>
      </c>
      <c r="O15" s="35">
        <v>1172</v>
      </c>
      <c r="P15" s="35">
        <v>1159</v>
      </c>
      <c r="Q15" s="35">
        <v>1150</v>
      </c>
      <c r="R15" s="35">
        <v>1100</v>
      </c>
      <c r="S15" s="35">
        <v>1085</v>
      </c>
      <c r="T15" s="35">
        <v>1041</v>
      </c>
      <c r="U15" s="35">
        <v>1031</v>
      </c>
      <c r="V15" s="35">
        <v>675</v>
      </c>
      <c r="W15" s="35">
        <v>517</v>
      </c>
      <c r="X15" s="35">
        <v>366</v>
      </c>
      <c r="Y15" s="37">
        <v>0</v>
      </c>
    </row>
    <row r="16" spans="1:25" x14ac:dyDescent="0.25">
      <c r="A16" s="31">
        <v>0.1</v>
      </c>
      <c r="B16" s="32">
        <v>500</v>
      </c>
      <c r="C16" s="33">
        <v>12882</v>
      </c>
      <c r="D16" s="33">
        <v>10946</v>
      </c>
      <c r="E16" s="33">
        <v>9224</v>
      </c>
      <c r="F16" s="33">
        <v>6791</v>
      </c>
      <c r="G16" s="34">
        <v>5348</v>
      </c>
      <c r="H16" s="34">
        <v>3938</v>
      </c>
      <c r="I16" s="34">
        <v>3369</v>
      </c>
      <c r="J16" s="34">
        <v>2685</v>
      </c>
      <c r="K16" s="34">
        <v>2087</v>
      </c>
      <c r="L16" s="38">
        <v>1808</v>
      </c>
      <c r="M16" s="35">
        <v>1412</v>
      </c>
      <c r="N16" s="35">
        <v>1347</v>
      </c>
      <c r="O16" s="35">
        <v>1311</v>
      </c>
      <c r="P16" s="35">
        <v>1303</v>
      </c>
      <c r="Q16" s="35">
        <v>1282</v>
      </c>
      <c r="R16" s="35">
        <v>1260</v>
      </c>
      <c r="S16" s="35">
        <v>1212</v>
      </c>
      <c r="T16" s="35">
        <v>1193</v>
      </c>
      <c r="U16" s="35">
        <v>1071</v>
      </c>
      <c r="V16" s="35">
        <v>605</v>
      </c>
      <c r="W16" s="35">
        <v>450</v>
      </c>
      <c r="X16" s="33">
        <v>295</v>
      </c>
      <c r="Y16" s="39">
        <v>0</v>
      </c>
    </row>
    <row r="17" spans="1:25" x14ac:dyDescent="0.25">
      <c r="A17" s="31">
        <v>0.1</v>
      </c>
      <c r="B17" s="32">
        <v>750</v>
      </c>
      <c r="C17" s="33">
        <v>16982</v>
      </c>
      <c r="D17" s="33">
        <v>14405</v>
      </c>
      <c r="E17" s="33">
        <v>11641</v>
      </c>
      <c r="F17" s="33">
        <v>7496</v>
      </c>
      <c r="G17" s="34">
        <v>5662</v>
      </c>
      <c r="H17" s="34">
        <v>4234</v>
      </c>
      <c r="I17" s="35">
        <v>3471</v>
      </c>
      <c r="J17" s="35">
        <v>2780</v>
      </c>
      <c r="K17" s="35">
        <v>2229</v>
      </c>
      <c r="L17" s="35">
        <v>1970</v>
      </c>
      <c r="M17" s="35">
        <v>1649</v>
      </c>
      <c r="N17" s="35">
        <v>1606</v>
      </c>
      <c r="O17" s="35">
        <v>1591</v>
      </c>
      <c r="P17" s="35">
        <v>1563</v>
      </c>
      <c r="Q17" s="35">
        <v>1510</v>
      </c>
      <c r="R17" s="35">
        <v>1495</v>
      </c>
      <c r="S17" s="35">
        <v>1400</v>
      </c>
      <c r="T17" s="35">
        <v>1280</v>
      </c>
      <c r="U17" s="35">
        <v>595</v>
      </c>
      <c r="V17" s="35">
        <v>415</v>
      </c>
      <c r="W17" s="33">
        <v>243</v>
      </c>
      <c r="X17" s="33">
        <v>206</v>
      </c>
      <c r="Y17" s="39">
        <v>0</v>
      </c>
    </row>
    <row r="18" spans="1:25" x14ac:dyDescent="0.25">
      <c r="A18" s="31">
        <v>0.1</v>
      </c>
      <c r="B18" s="32">
        <v>1000</v>
      </c>
      <c r="C18" s="33">
        <v>19441</v>
      </c>
      <c r="D18" s="33">
        <v>16278</v>
      </c>
      <c r="E18" s="33">
        <v>13255</v>
      </c>
      <c r="F18" s="33">
        <v>8232</v>
      </c>
      <c r="G18" s="34">
        <v>5971</v>
      </c>
      <c r="H18" s="34">
        <v>4495</v>
      </c>
      <c r="I18" s="35">
        <v>3533</v>
      </c>
      <c r="J18" s="35">
        <v>3012</v>
      </c>
      <c r="K18" s="35">
        <v>2653</v>
      </c>
      <c r="L18" s="35">
        <v>2349</v>
      </c>
      <c r="M18" s="35">
        <v>2070</v>
      </c>
      <c r="N18" s="35">
        <v>2000</v>
      </c>
      <c r="O18" s="35">
        <v>1980</v>
      </c>
      <c r="P18" s="35">
        <v>1930</v>
      </c>
      <c r="Q18" s="35">
        <v>1715</v>
      </c>
      <c r="R18" s="35">
        <v>1550</v>
      </c>
      <c r="S18" s="35">
        <v>1359</v>
      </c>
      <c r="T18" s="35">
        <v>1165</v>
      </c>
      <c r="U18" s="35">
        <v>503</v>
      </c>
      <c r="V18" s="33">
        <v>322</v>
      </c>
      <c r="W18" s="33">
        <v>172</v>
      </c>
      <c r="X18" s="33">
        <v>105</v>
      </c>
      <c r="Y18" s="39">
        <v>0</v>
      </c>
    </row>
    <row r="19" spans="1:25" x14ac:dyDescent="0.25">
      <c r="A19" s="31">
        <v>0.1</v>
      </c>
      <c r="B19" s="32">
        <v>1500</v>
      </c>
      <c r="C19" s="33">
        <v>22781</v>
      </c>
      <c r="D19" s="33">
        <v>19225</v>
      </c>
      <c r="E19" s="33">
        <v>15465</v>
      </c>
      <c r="F19" s="33">
        <v>9100</v>
      </c>
      <c r="G19" s="34">
        <v>6603</v>
      </c>
      <c r="H19" s="34">
        <v>5358</v>
      </c>
      <c r="I19" s="35">
        <v>3741</v>
      </c>
      <c r="J19" s="35">
        <v>3524</v>
      </c>
      <c r="K19" s="35">
        <v>3166</v>
      </c>
      <c r="L19" s="35">
        <v>2917</v>
      </c>
      <c r="M19" s="35">
        <v>2635</v>
      </c>
      <c r="N19" s="35">
        <v>2572</v>
      </c>
      <c r="O19" s="35">
        <v>2467</v>
      </c>
      <c r="P19" s="35">
        <v>2378</v>
      </c>
      <c r="Q19" s="35">
        <v>1908</v>
      </c>
      <c r="R19" s="35">
        <v>1350</v>
      </c>
      <c r="S19" s="35">
        <v>1005</v>
      </c>
      <c r="T19" s="35">
        <v>815</v>
      </c>
      <c r="U19" s="35">
        <v>302</v>
      </c>
      <c r="V19" s="33">
        <v>210</v>
      </c>
      <c r="W19" s="33">
        <v>126</v>
      </c>
      <c r="X19" s="33">
        <v>51</v>
      </c>
      <c r="Y19" s="39">
        <v>0</v>
      </c>
    </row>
    <row r="20" spans="1:25" x14ac:dyDescent="0.25">
      <c r="A20" s="31">
        <v>0.1</v>
      </c>
      <c r="B20" s="32">
        <v>2000</v>
      </c>
      <c r="C20" s="33">
        <v>25268</v>
      </c>
      <c r="D20" s="33">
        <v>21321</v>
      </c>
      <c r="E20" s="33">
        <v>17143</v>
      </c>
      <c r="F20" s="33">
        <v>9141</v>
      </c>
      <c r="G20" s="34">
        <v>7059</v>
      </c>
      <c r="H20" s="34">
        <v>6036</v>
      </c>
      <c r="I20" s="35">
        <v>4074</v>
      </c>
      <c r="J20" s="35">
        <v>3855</v>
      </c>
      <c r="K20" s="35">
        <v>3556</v>
      </c>
      <c r="L20" s="35">
        <v>3402</v>
      </c>
      <c r="M20" s="35">
        <v>3167</v>
      </c>
      <c r="N20" s="35">
        <v>2986</v>
      </c>
      <c r="O20" s="35">
        <v>2720</v>
      </c>
      <c r="P20" s="35">
        <v>2549</v>
      </c>
      <c r="Q20" s="33">
        <v>1696</v>
      </c>
      <c r="R20" s="35">
        <v>1105</v>
      </c>
      <c r="S20" s="35">
        <v>805</v>
      </c>
      <c r="T20" s="33">
        <v>595</v>
      </c>
      <c r="U20" s="33">
        <v>247</v>
      </c>
      <c r="V20" s="33">
        <v>105</v>
      </c>
      <c r="W20" s="33">
        <v>87</v>
      </c>
      <c r="X20" s="33">
        <v>39</v>
      </c>
      <c r="Y20" s="39">
        <v>0</v>
      </c>
    </row>
    <row r="21" spans="1:25" x14ac:dyDescent="0.25">
      <c r="A21" s="31">
        <v>0.1</v>
      </c>
      <c r="B21" s="32">
        <v>2500</v>
      </c>
      <c r="C21" s="33">
        <v>28026</v>
      </c>
      <c r="D21" s="33">
        <v>23599</v>
      </c>
      <c r="E21" s="33">
        <v>18346</v>
      </c>
      <c r="F21" s="33">
        <v>9503</v>
      </c>
      <c r="G21" s="34">
        <v>7506</v>
      </c>
      <c r="H21" s="34">
        <v>6516</v>
      </c>
      <c r="I21" s="35">
        <v>4502</v>
      </c>
      <c r="J21" s="35">
        <v>4047</v>
      </c>
      <c r="K21" s="35">
        <v>3852</v>
      </c>
      <c r="L21" s="35">
        <v>3599</v>
      </c>
      <c r="M21" s="35">
        <v>3228</v>
      </c>
      <c r="N21" s="35">
        <v>3019</v>
      </c>
      <c r="O21" s="35">
        <v>2676</v>
      </c>
      <c r="P21" s="35">
        <v>2458</v>
      </c>
      <c r="Q21" s="33">
        <v>1148</v>
      </c>
      <c r="R21" s="33">
        <v>956</v>
      </c>
      <c r="S21" s="33">
        <v>708</v>
      </c>
      <c r="T21" s="33">
        <v>485</v>
      </c>
      <c r="U21" s="33">
        <v>290</v>
      </c>
      <c r="V21" s="33">
        <v>120</v>
      </c>
      <c r="W21" s="33">
        <v>46</v>
      </c>
      <c r="X21" s="33">
        <v>22</v>
      </c>
      <c r="Y21" s="39">
        <v>0</v>
      </c>
    </row>
    <row r="22" spans="1:25" x14ac:dyDescent="0.25">
      <c r="A22" s="31">
        <v>0.1</v>
      </c>
      <c r="B22" s="32">
        <v>3000</v>
      </c>
      <c r="C22" s="33">
        <v>30294</v>
      </c>
      <c r="D22" s="33">
        <v>25465</v>
      </c>
      <c r="E22" s="33">
        <v>19383</v>
      </c>
      <c r="F22" s="33">
        <v>9779</v>
      </c>
      <c r="G22" s="34">
        <v>8063</v>
      </c>
      <c r="H22" s="35">
        <v>7088</v>
      </c>
      <c r="I22" s="35">
        <v>4826</v>
      </c>
      <c r="J22" s="35">
        <v>4182</v>
      </c>
      <c r="K22" s="35">
        <v>3976</v>
      </c>
      <c r="L22" s="35">
        <v>3389</v>
      </c>
      <c r="M22" s="33">
        <v>2968</v>
      </c>
      <c r="N22" s="33">
        <v>2706</v>
      </c>
      <c r="O22" s="33">
        <v>2369</v>
      </c>
      <c r="P22" s="33">
        <v>1829</v>
      </c>
      <c r="Q22" s="33">
        <v>940</v>
      </c>
      <c r="R22" s="33">
        <v>846</v>
      </c>
      <c r="S22" s="33">
        <v>665</v>
      </c>
      <c r="T22" s="33">
        <v>532</v>
      </c>
      <c r="U22" s="33">
        <v>302</v>
      </c>
      <c r="V22" s="33">
        <v>159</v>
      </c>
      <c r="W22" s="33">
        <v>55</v>
      </c>
      <c r="X22" s="33">
        <v>20</v>
      </c>
      <c r="Y22" s="39">
        <v>0</v>
      </c>
    </row>
    <row r="23" spans="1:25" x14ac:dyDescent="0.25">
      <c r="A23" s="31">
        <v>0.1</v>
      </c>
      <c r="B23" s="32">
        <v>3500</v>
      </c>
      <c r="C23" s="33">
        <v>32227</v>
      </c>
      <c r="D23" s="33">
        <v>27043</v>
      </c>
      <c r="E23" s="33">
        <v>21068</v>
      </c>
      <c r="F23" s="33">
        <v>10156</v>
      </c>
      <c r="G23" s="34">
        <v>8518</v>
      </c>
      <c r="H23" s="35">
        <v>7302</v>
      </c>
      <c r="I23" s="35">
        <v>5113</v>
      </c>
      <c r="J23" s="35">
        <v>4384</v>
      </c>
      <c r="K23" s="35">
        <v>4106</v>
      </c>
      <c r="L23" s="33">
        <v>3196</v>
      </c>
      <c r="M23" s="33">
        <v>2769</v>
      </c>
      <c r="N23" s="33">
        <v>2557</v>
      </c>
      <c r="O23" s="33">
        <v>2311</v>
      </c>
      <c r="P23" s="33">
        <v>1729</v>
      </c>
      <c r="Q23" s="33">
        <v>1158</v>
      </c>
      <c r="R23" s="33">
        <v>891</v>
      </c>
      <c r="S23" s="33">
        <v>817</v>
      </c>
      <c r="T23" s="33">
        <v>670</v>
      </c>
      <c r="U23" s="33">
        <v>402</v>
      </c>
      <c r="V23" s="33">
        <v>210</v>
      </c>
      <c r="W23" s="33">
        <v>75</v>
      </c>
      <c r="X23" s="33">
        <v>28</v>
      </c>
      <c r="Y23" s="39">
        <v>0</v>
      </c>
    </row>
    <row r="24" spans="1:25" x14ac:dyDescent="0.25">
      <c r="A24" s="31">
        <v>0.1</v>
      </c>
      <c r="B24" s="32">
        <v>4000</v>
      </c>
      <c r="C24" s="33">
        <v>33928</v>
      </c>
      <c r="D24" s="33">
        <v>28471</v>
      </c>
      <c r="E24" s="33">
        <v>22722</v>
      </c>
      <c r="F24" s="33">
        <v>10512</v>
      </c>
      <c r="G24" s="34">
        <v>8728</v>
      </c>
      <c r="H24" s="35">
        <v>7528</v>
      </c>
      <c r="I24" s="35">
        <v>5582</v>
      </c>
      <c r="J24" s="35">
        <v>4709</v>
      </c>
      <c r="K24" s="35">
        <v>4228</v>
      </c>
      <c r="L24" s="33">
        <v>3119</v>
      </c>
      <c r="M24" s="33">
        <v>2736</v>
      </c>
      <c r="N24" s="33">
        <v>2504</v>
      </c>
      <c r="O24" s="33">
        <v>2282</v>
      </c>
      <c r="P24" s="33">
        <v>1850</v>
      </c>
      <c r="Q24" s="33">
        <v>1470</v>
      </c>
      <c r="R24" s="33">
        <v>1160</v>
      </c>
      <c r="S24" s="33">
        <v>1030</v>
      </c>
      <c r="T24" s="33">
        <v>823</v>
      </c>
      <c r="U24" s="33">
        <v>475</v>
      </c>
      <c r="V24" s="33">
        <v>248</v>
      </c>
      <c r="W24" s="33">
        <v>96</v>
      </c>
      <c r="X24" s="33">
        <v>38</v>
      </c>
      <c r="Y24" s="39">
        <v>0</v>
      </c>
    </row>
    <row r="25" spans="1:25" x14ac:dyDescent="0.25">
      <c r="A25" s="31">
        <v>0.1</v>
      </c>
      <c r="B25" s="32">
        <v>4500</v>
      </c>
      <c r="C25" s="33">
        <v>35406</v>
      </c>
      <c r="D25" s="33">
        <v>29774</v>
      </c>
      <c r="E25" s="33">
        <v>23890</v>
      </c>
      <c r="F25" s="33">
        <v>10945</v>
      </c>
      <c r="G25" s="34">
        <v>9088</v>
      </c>
      <c r="H25" s="35">
        <v>8067</v>
      </c>
      <c r="I25" s="35">
        <v>6267</v>
      </c>
      <c r="J25" s="35">
        <v>5013</v>
      </c>
      <c r="K25" s="33">
        <v>4272</v>
      </c>
      <c r="L25" s="33">
        <v>3287</v>
      </c>
      <c r="M25" s="33">
        <v>2769</v>
      </c>
      <c r="N25" s="33">
        <v>2541</v>
      </c>
      <c r="O25" s="33">
        <v>2304</v>
      </c>
      <c r="P25" s="33">
        <v>1972</v>
      </c>
      <c r="Q25" s="33">
        <v>1718</v>
      </c>
      <c r="R25" s="33">
        <v>1405</v>
      </c>
      <c r="S25" s="33">
        <v>1185</v>
      </c>
      <c r="T25" s="33">
        <v>969</v>
      </c>
      <c r="U25" s="33">
        <v>585</v>
      </c>
      <c r="V25" s="33">
        <v>289</v>
      </c>
      <c r="W25" s="33">
        <v>129</v>
      </c>
      <c r="X25" s="33">
        <v>61</v>
      </c>
      <c r="Y25" s="39">
        <v>0</v>
      </c>
    </row>
    <row r="26" spans="1:25" x14ac:dyDescent="0.25">
      <c r="A26" s="31">
        <v>0.1</v>
      </c>
      <c r="B26" s="32">
        <v>5000</v>
      </c>
      <c r="C26" s="33">
        <v>36808</v>
      </c>
      <c r="D26" s="33">
        <v>30988</v>
      </c>
      <c r="E26" s="33">
        <v>24979</v>
      </c>
      <c r="F26" s="33">
        <v>11185</v>
      </c>
      <c r="G26" s="34">
        <v>9592</v>
      </c>
      <c r="H26" s="35">
        <v>8576</v>
      </c>
      <c r="I26" s="35">
        <v>6748</v>
      </c>
      <c r="J26" s="35">
        <v>5113</v>
      </c>
      <c r="K26" s="35">
        <v>4342</v>
      </c>
      <c r="L26" s="35">
        <v>3410</v>
      </c>
      <c r="M26" s="33">
        <v>2890</v>
      </c>
      <c r="N26" s="33">
        <v>2629</v>
      </c>
      <c r="O26" s="33">
        <v>2355</v>
      </c>
      <c r="P26" s="33">
        <v>2066</v>
      </c>
      <c r="Q26" s="33">
        <v>1779</v>
      </c>
      <c r="R26" s="33">
        <v>1498</v>
      </c>
      <c r="S26" s="33">
        <v>1247</v>
      </c>
      <c r="T26" s="33">
        <v>1030</v>
      </c>
      <c r="U26" s="33">
        <v>647</v>
      </c>
      <c r="V26" s="33">
        <v>347</v>
      </c>
      <c r="W26" s="33">
        <v>167</v>
      </c>
      <c r="X26" s="33">
        <v>81</v>
      </c>
      <c r="Y26" s="39">
        <v>0</v>
      </c>
    </row>
    <row r="27" spans="1:25" x14ac:dyDescent="0.25">
      <c r="A27" s="31">
        <v>0.1</v>
      </c>
      <c r="B27" s="32">
        <v>5500</v>
      </c>
      <c r="C27" s="33">
        <v>38232</v>
      </c>
      <c r="D27" s="33">
        <v>32141</v>
      </c>
      <c r="E27" s="33">
        <v>25791</v>
      </c>
      <c r="F27" s="33">
        <v>11929</v>
      </c>
      <c r="G27" s="34">
        <v>10084</v>
      </c>
      <c r="H27" s="35">
        <v>8940</v>
      </c>
      <c r="I27" s="35">
        <v>6867</v>
      </c>
      <c r="J27" s="35">
        <v>5175</v>
      </c>
      <c r="K27" s="35">
        <v>4389</v>
      </c>
      <c r="L27" s="35">
        <v>3465</v>
      </c>
      <c r="M27" s="33">
        <v>2954</v>
      </c>
      <c r="N27" s="33">
        <v>2680</v>
      </c>
      <c r="O27" s="33">
        <v>2406</v>
      </c>
      <c r="P27" s="33">
        <v>2128</v>
      </c>
      <c r="Q27" s="33">
        <v>1848</v>
      </c>
      <c r="R27" s="33">
        <v>1595</v>
      </c>
      <c r="S27" s="33">
        <v>1334</v>
      </c>
      <c r="T27" s="33">
        <v>1118</v>
      </c>
      <c r="U27" s="33">
        <v>729</v>
      </c>
      <c r="V27" s="33">
        <v>409</v>
      </c>
      <c r="W27" s="33">
        <v>206</v>
      </c>
      <c r="X27" s="33">
        <v>101</v>
      </c>
      <c r="Y27" s="39">
        <v>0</v>
      </c>
    </row>
    <row r="28" spans="1:25" x14ac:dyDescent="0.25">
      <c r="A28" s="31">
        <v>0.1</v>
      </c>
      <c r="B28" s="32">
        <v>6000</v>
      </c>
      <c r="C28" s="33">
        <v>39525</v>
      </c>
      <c r="D28" s="33">
        <v>33222</v>
      </c>
      <c r="E28" s="33">
        <v>26637</v>
      </c>
      <c r="F28" s="33">
        <v>13026</v>
      </c>
      <c r="G28" s="34">
        <v>10396</v>
      </c>
      <c r="H28" s="34">
        <v>9347</v>
      </c>
      <c r="I28" s="35">
        <v>6919</v>
      </c>
      <c r="J28" s="35">
        <v>5241</v>
      </c>
      <c r="K28" s="33">
        <v>4423</v>
      </c>
      <c r="L28" s="33">
        <v>3580</v>
      </c>
      <c r="M28" s="33">
        <v>2921</v>
      </c>
      <c r="N28" s="33">
        <v>2681</v>
      </c>
      <c r="O28" s="33">
        <v>2447</v>
      </c>
      <c r="P28" s="33">
        <v>2170</v>
      </c>
      <c r="Q28" s="33">
        <v>1908</v>
      </c>
      <c r="R28" s="33">
        <v>1651</v>
      </c>
      <c r="S28" s="33">
        <v>1418</v>
      </c>
      <c r="T28" s="33">
        <v>1204</v>
      </c>
      <c r="U28" s="33">
        <v>807</v>
      </c>
      <c r="V28" s="33">
        <v>468</v>
      </c>
      <c r="W28" s="33">
        <v>244</v>
      </c>
      <c r="X28" s="33">
        <v>121</v>
      </c>
      <c r="Y28" s="39">
        <v>0</v>
      </c>
    </row>
    <row r="29" spans="1:25" x14ac:dyDescent="0.25">
      <c r="A29" s="31">
        <v>0.1</v>
      </c>
      <c r="B29" s="32">
        <v>6500</v>
      </c>
      <c r="C29" s="33">
        <v>40727</v>
      </c>
      <c r="D29" s="33">
        <v>34244</v>
      </c>
      <c r="E29" s="33">
        <v>27480</v>
      </c>
      <c r="F29" s="33">
        <v>14371</v>
      </c>
      <c r="G29" s="34">
        <v>10748</v>
      </c>
      <c r="H29" s="35">
        <v>9701</v>
      </c>
      <c r="I29" s="35">
        <v>6995</v>
      </c>
      <c r="J29" s="35">
        <v>5295</v>
      </c>
      <c r="K29" s="33">
        <v>4491</v>
      </c>
      <c r="L29" s="33">
        <v>3620</v>
      </c>
      <c r="M29" s="33">
        <v>2918</v>
      </c>
      <c r="N29" s="33">
        <v>2694</v>
      </c>
      <c r="O29" s="33">
        <v>2477</v>
      </c>
      <c r="P29" s="33">
        <v>2209</v>
      </c>
      <c r="Q29" s="33">
        <v>1965</v>
      </c>
      <c r="R29" s="33">
        <v>1719</v>
      </c>
      <c r="S29" s="33">
        <v>1493</v>
      </c>
      <c r="T29" s="33">
        <v>1281</v>
      </c>
      <c r="U29" s="33">
        <v>878</v>
      </c>
      <c r="V29" s="33">
        <v>523</v>
      </c>
      <c r="W29" s="33">
        <v>282</v>
      </c>
      <c r="X29" s="33">
        <v>142</v>
      </c>
      <c r="Y29" s="39">
        <v>0</v>
      </c>
    </row>
    <row r="30" spans="1:25" x14ac:dyDescent="0.25">
      <c r="A30" s="31">
        <v>0.1</v>
      </c>
      <c r="B30" s="32">
        <v>7000</v>
      </c>
      <c r="C30" s="33">
        <v>41950</v>
      </c>
      <c r="D30" s="33">
        <v>35224</v>
      </c>
      <c r="E30" s="33">
        <v>28165</v>
      </c>
      <c r="F30" s="33">
        <v>15045</v>
      </c>
      <c r="G30" s="34">
        <v>11091</v>
      </c>
      <c r="H30" s="35">
        <v>10522</v>
      </c>
      <c r="I30" s="35">
        <v>7062</v>
      </c>
      <c r="J30" s="35">
        <v>5370</v>
      </c>
      <c r="K30" s="33">
        <v>4513</v>
      </c>
      <c r="L30" s="33">
        <v>3668</v>
      </c>
      <c r="M30" s="33">
        <v>2958</v>
      </c>
      <c r="N30" s="33">
        <v>2724</v>
      </c>
      <c r="O30" s="33">
        <v>2501</v>
      </c>
      <c r="P30" s="33">
        <v>2247</v>
      </c>
      <c r="Q30" s="33">
        <v>2013</v>
      </c>
      <c r="R30" s="33">
        <v>1780</v>
      </c>
      <c r="S30" s="33">
        <v>1559</v>
      </c>
      <c r="T30" s="33">
        <v>1349</v>
      </c>
      <c r="U30" s="33">
        <v>943</v>
      </c>
      <c r="V30" s="33">
        <v>576</v>
      </c>
      <c r="W30" s="33">
        <v>319</v>
      </c>
      <c r="X30" s="33">
        <v>162</v>
      </c>
      <c r="Y30" s="39">
        <v>0</v>
      </c>
    </row>
    <row r="31" spans="1:25" x14ac:dyDescent="0.25">
      <c r="A31" s="31">
        <v>0.1</v>
      </c>
      <c r="B31" s="32">
        <v>7500</v>
      </c>
      <c r="C31" s="33">
        <v>43448</v>
      </c>
      <c r="D31" s="33">
        <v>36075</v>
      </c>
      <c r="E31" s="33">
        <v>28604</v>
      </c>
      <c r="F31" s="33">
        <v>15822</v>
      </c>
      <c r="G31" s="34">
        <v>11538</v>
      </c>
      <c r="H31" s="35">
        <v>10726</v>
      </c>
      <c r="I31" s="35">
        <v>7087</v>
      </c>
      <c r="J31" s="35">
        <v>5381</v>
      </c>
      <c r="K31" s="33">
        <v>4585</v>
      </c>
      <c r="L31" s="33">
        <v>3699</v>
      </c>
      <c r="M31" s="33">
        <v>2996</v>
      </c>
      <c r="N31" s="33">
        <v>2751</v>
      </c>
      <c r="O31" s="33">
        <v>2526</v>
      </c>
      <c r="P31" s="33">
        <v>2285</v>
      </c>
      <c r="Q31" s="33">
        <v>2060</v>
      </c>
      <c r="R31" s="33">
        <v>1838</v>
      </c>
      <c r="S31" s="33">
        <v>1622</v>
      </c>
      <c r="T31" s="33">
        <v>1414</v>
      </c>
      <c r="U31" s="33">
        <v>1000</v>
      </c>
      <c r="V31" s="33">
        <v>615</v>
      </c>
      <c r="W31" s="33">
        <v>347</v>
      </c>
      <c r="X31" s="33">
        <v>180</v>
      </c>
      <c r="Y31" s="39">
        <v>0</v>
      </c>
    </row>
    <row r="32" spans="1:25" x14ac:dyDescent="0.25">
      <c r="A32" s="31">
        <v>0.1</v>
      </c>
      <c r="B32" s="32">
        <v>8000</v>
      </c>
      <c r="C32" s="33">
        <v>44338</v>
      </c>
      <c r="D32" s="33">
        <v>36803</v>
      </c>
      <c r="E32" s="33">
        <v>29089</v>
      </c>
      <c r="F32" s="33">
        <v>16599</v>
      </c>
      <c r="G32" s="34">
        <v>12085</v>
      </c>
      <c r="H32" s="34">
        <v>10900</v>
      </c>
      <c r="I32" s="34">
        <v>7313</v>
      </c>
      <c r="J32" s="34">
        <v>5392</v>
      </c>
      <c r="K32" s="33">
        <v>4689</v>
      </c>
      <c r="L32" s="33">
        <v>3780</v>
      </c>
      <c r="M32" s="33">
        <v>3031</v>
      </c>
      <c r="N32" s="33">
        <v>2778</v>
      </c>
      <c r="O32" s="33">
        <v>2553</v>
      </c>
      <c r="P32" s="33">
        <v>2320</v>
      </c>
      <c r="Q32" s="33">
        <v>2103</v>
      </c>
      <c r="R32" s="33">
        <v>1890</v>
      </c>
      <c r="S32" s="33">
        <v>1679</v>
      </c>
      <c r="T32" s="33">
        <v>1473</v>
      </c>
      <c r="U32" s="33">
        <v>1054</v>
      </c>
      <c r="V32" s="33">
        <v>651</v>
      </c>
      <c r="W32" s="33">
        <v>371</v>
      </c>
      <c r="X32" s="33">
        <v>196</v>
      </c>
      <c r="Y32" s="39">
        <v>0</v>
      </c>
    </row>
    <row r="33" spans="1:25" x14ac:dyDescent="0.25">
      <c r="A33" s="40"/>
      <c r="B33" s="32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32"/>
    </row>
    <row r="34" spans="1:25" x14ac:dyDescent="0.25">
      <c r="A34" s="31">
        <v>0.3</v>
      </c>
      <c r="B34" s="32">
        <v>0</v>
      </c>
      <c r="C34" s="33">
        <v>8027</v>
      </c>
      <c r="D34" s="33">
        <v>7043</v>
      </c>
      <c r="E34" s="33">
        <v>6206</v>
      </c>
      <c r="F34" s="34">
        <v>4761</v>
      </c>
      <c r="G34" s="34">
        <v>4106</v>
      </c>
      <c r="H34" s="34">
        <v>3131</v>
      </c>
      <c r="I34" s="34">
        <v>2483</v>
      </c>
      <c r="J34" s="34">
        <v>1374</v>
      </c>
      <c r="K34" s="34">
        <v>883</v>
      </c>
      <c r="L34" s="34">
        <v>606</v>
      </c>
      <c r="M34" s="34">
        <v>420</v>
      </c>
      <c r="N34" s="34">
        <v>313</v>
      </c>
      <c r="O34" s="34">
        <v>248</v>
      </c>
      <c r="P34" s="34">
        <v>205</v>
      </c>
      <c r="Q34" s="34">
        <v>180</v>
      </c>
      <c r="R34" s="34">
        <v>165</v>
      </c>
      <c r="S34" s="35">
        <v>148</v>
      </c>
      <c r="T34" s="35">
        <v>141</v>
      </c>
      <c r="U34" s="35">
        <v>135</v>
      </c>
      <c r="V34" s="35">
        <v>131</v>
      </c>
      <c r="W34" s="35">
        <v>125</v>
      </c>
      <c r="X34" s="35">
        <v>67</v>
      </c>
      <c r="Y34" s="37">
        <v>0</v>
      </c>
    </row>
    <row r="35" spans="1:25" x14ac:dyDescent="0.25">
      <c r="A35" s="31">
        <v>0.3</v>
      </c>
      <c r="B35" s="32">
        <v>50</v>
      </c>
      <c r="C35" s="33">
        <v>8153</v>
      </c>
      <c r="D35" s="33">
        <v>7058</v>
      </c>
      <c r="E35" s="33">
        <v>6287</v>
      </c>
      <c r="F35" s="34">
        <v>5304</v>
      </c>
      <c r="G35" s="34">
        <v>4564</v>
      </c>
      <c r="H35" s="34">
        <v>3729</v>
      </c>
      <c r="I35" s="34">
        <v>2847</v>
      </c>
      <c r="J35" s="34">
        <v>2071</v>
      </c>
      <c r="K35" s="34">
        <v>1587</v>
      </c>
      <c r="L35" s="34">
        <v>1315</v>
      </c>
      <c r="M35" s="34">
        <v>1052</v>
      </c>
      <c r="N35" s="34">
        <v>871</v>
      </c>
      <c r="O35" s="34">
        <v>709</v>
      </c>
      <c r="P35" s="34">
        <v>599</v>
      </c>
      <c r="Q35" s="35">
        <v>516</v>
      </c>
      <c r="R35" s="35">
        <v>499</v>
      </c>
      <c r="S35" s="35">
        <v>457</v>
      </c>
      <c r="T35" s="35">
        <v>389</v>
      </c>
      <c r="U35" s="35">
        <v>372</v>
      </c>
      <c r="V35" s="35">
        <v>362</v>
      </c>
      <c r="W35" s="35">
        <v>274</v>
      </c>
      <c r="X35" s="35">
        <v>207</v>
      </c>
      <c r="Y35" s="37">
        <v>0</v>
      </c>
    </row>
    <row r="36" spans="1:25" x14ac:dyDescent="0.25">
      <c r="A36" s="31">
        <v>0.3</v>
      </c>
      <c r="B36" s="32">
        <v>100</v>
      </c>
      <c r="C36" s="33">
        <v>8418</v>
      </c>
      <c r="D36" s="33">
        <v>7315</v>
      </c>
      <c r="E36" s="33">
        <v>6499</v>
      </c>
      <c r="F36" s="34">
        <v>5509</v>
      </c>
      <c r="G36" s="34">
        <v>4883</v>
      </c>
      <c r="H36" s="34">
        <v>4013</v>
      </c>
      <c r="I36" s="34">
        <v>3238</v>
      </c>
      <c r="J36" s="34">
        <v>2638</v>
      </c>
      <c r="K36" s="34">
        <v>2150</v>
      </c>
      <c r="L36" s="34">
        <v>1869</v>
      </c>
      <c r="M36" s="35">
        <v>1528</v>
      </c>
      <c r="N36" s="35">
        <v>1373</v>
      </c>
      <c r="O36" s="35">
        <v>1262</v>
      </c>
      <c r="P36" s="35">
        <v>1183</v>
      </c>
      <c r="Q36" s="35">
        <v>1127</v>
      </c>
      <c r="R36" s="35">
        <v>1065</v>
      </c>
      <c r="S36" s="35">
        <v>1057</v>
      </c>
      <c r="T36" s="35">
        <v>1033</v>
      </c>
      <c r="U36" s="35">
        <v>902</v>
      </c>
      <c r="V36" s="35">
        <v>691</v>
      </c>
      <c r="W36" s="35">
        <v>502</v>
      </c>
      <c r="X36" s="35">
        <v>394</v>
      </c>
      <c r="Y36" s="37">
        <v>0</v>
      </c>
    </row>
    <row r="37" spans="1:25" x14ac:dyDescent="0.25">
      <c r="A37" s="31">
        <v>0.3</v>
      </c>
      <c r="B37" s="32">
        <v>300</v>
      </c>
      <c r="C37" s="33">
        <v>10397</v>
      </c>
      <c r="D37" s="33">
        <v>9094</v>
      </c>
      <c r="E37" s="33">
        <v>7805</v>
      </c>
      <c r="F37" s="34">
        <v>6085</v>
      </c>
      <c r="G37" s="34">
        <v>5320</v>
      </c>
      <c r="H37" s="34">
        <v>4107</v>
      </c>
      <c r="I37" s="34">
        <v>3429</v>
      </c>
      <c r="J37" s="34">
        <v>3011</v>
      </c>
      <c r="K37" s="34">
        <v>2617</v>
      </c>
      <c r="L37" s="34">
        <v>2263</v>
      </c>
      <c r="M37" s="35">
        <v>1862</v>
      </c>
      <c r="N37" s="35">
        <v>1657</v>
      </c>
      <c r="O37" s="35">
        <v>1614</v>
      </c>
      <c r="P37" s="35">
        <v>1576</v>
      </c>
      <c r="Q37" s="35">
        <v>1513</v>
      </c>
      <c r="R37" s="35">
        <v>1480</v>
      </c>
      <c r="S37" s="35">
        <v>1446</v>
      </c>
      <c r="T37" s="35">
        <v>1403</v>
      </c>
      <c r="U37" s="35">
        <v>1193</v>
      </c>
      <c r="V37" s="35">
        <v>722</v>
      </c>
      <c r="W37" s="35">
        <v>572</v>
      </c>
      <c r="X37" s="35">
        <v>419</v>
      </c>
      <c r="Y37" s="37">
        <v>0</v>
      </c>
    </row>
    <row r="38" spans="1:25" x14ac:dyDescent="0.25">
      <c r="A38" s="31">
        <v>0.3</v>
      </c>
      <c r="B38" s="32">
        <v>500</v>
      </c>
      <c r="C38" s="33">
        <v>12787</v>
      </c>
      <c r="D38" s="33">
        <v>10894</v>
      </c>
      <c r="E38" s="33">
        <v>9193</v>
      </c>
      <c r="F38" s="34">
        <v>6962</v>
      </c>
      <c r="G38" s="34">
        <v>5664</v>
      </c>
      <c r="H38" s="34">
        <v>4134</v>
      </c>
      <c r="I38" s="34">
        <v>3563</v>
      </c>
      <c r="J38" s="34">
        <v>3285</v>
      </c>
      <c r="K38" s="34">
        <v>2821</v>
      </c>
      <c r="L38" s="35">
        <v>2405</v>
      </c>
      <c r="M38" s="35">
        <v>2001</v>
      </c>
      <c r="N38" s="35">
        <v>1832</v>
      </c>
      <c r="O38" s="35">
        <v>1688</v>
      </c>
      <c r="P38" s="35">
        <v>1663</v>
      </c>
      <c r="Q38" s="35">
        <v>1610</v>
      </c>
      <c r="R38" s="35">
        <v>1610</v>
      </c>
      <c r="S38" s="35">
        <v>1520</v>
      </c>
      <c r="T38" s="35">
        <v>1504</v>
      </c>
      <c r="U38" s="35">
        <v>1112</v>
      </c>
      <c r="V38" s="35">
        <v>616</v>
      </c>
      <c r="W38" s="35">
        <v>452</v>
      </c>
      <c r="X38" s="34">
        <v>297</v>
      </c>
      <c r="Y38" s="41">
        <v>0</v>
      </c>
    </row>
    <row r="39" spans="1:25" x14ac:dyDescent="0.25">
      <c r="A39" s="31">
        <v>0.3</v>
      </c>
      <c r="B39" s="32">
        <v>750</v>
      </c>
      <c r="C39" s="33">
        <v>16084</v>
      </c>
      <c r="D39" s="33">
        <v>13658</v>
      </c>
      <c r="E39" s="33">
        <v>11132</v>
      </c>
      <c r="F39" s="34">
        <v>7493</v>
      </c>
      <c r="G39" s="34">
        <v>5853</v>
      </c>
      <c r="H39" s="34">
        <v>4282</v>
      </c>
      <c r="I39" s="35">
        <v>3743</v>
      </c>
      <c r="J39" s="35">
        <v>3512</v>
      </c>
      <c r="K39" s="35">
        <v>2987</v>
      </c>
      <c r="L39" s="35">
        <v>2538</v>
      </c>
      <c r="M39" s="35">
        <v>2062</v>
      </c>
      <c r="N39" s="35">
        <v>1868</v>
      </c>
      <c r="O39" s="35">
        <v>1698</v>
      </c>
      <c r="P39" s="35">
        <v>1676</v>
      </c>
      <c r="Q39" s="35">
        <v>1636</v>
      </c>
      <c r="R39" s="35">
        <v>1598</v>
      </c>
      <c r="S39" s="35">
        <v>1447</v>
      </c>
      <c r="T39" s="35">
        <v>1300</v>
      </c>
      <c r="U39" s="35">
        <v>666</v>
      </c>
      <c r="V39" s="35">
        <v>440</v>
      </c>
      <c r="W39" s="35">
        <v>253</v>
      </c>
      <c r="X39" s="34">
        <v>207</v>
      </c>
      <c r="Y39" s="41">
        <v>0</v>
      </c>
    </row>
    <row r="40" spans="1:25" x14ac:dyDescent="0.25">
      <c r="A40" s="31">
        <v>0.3</v>
      </c>
      <c r="B40" s="32">
        <v>1000</v>
      </c>
      <c r="C40" s="33">
        <v>17866</v>
      </c>
      <c r="D40" s="33">
        <v>15378</v>
      </c>
      <c r="E40" s="33">
        <v>12753</v>
      </c>
      <c r="F40" s="34">
        <v>8194</v>
      </c>
      <c r="G40" s="34">
        <v>6038</v>
      </c>
      <c r="H40" s="34">
        <v>4572</v>
      </c>
      <c r="I40" s="35">
        <v>3898</v>
      </c>
      <c r="J40" s="35">
        <v>3610</v>
      </c>
      <c r="K40" s="35">
        <v>3224</v>
      </c>
      <c r="L40" s="35">
        <v>2791</v>
      </c>
      <c r="M40" s="35">
        <v>2450</v>
      </c>
      <c r="N40" s="35">
        <v>2230</v>
      </c>
      <c r="O40" s="35">
        <v>2070</v>
      </c>
      <c r="P40" s="35">
        <v>1990</v>
      </c>
      <c r="Q40" s="35">
        <v>1805</v>
      </c>
      <c r="R40" s="35">
        <v>1570</v>
      </c>
      <c r="S40" s="35">
        <v>1369</v>
      </c>
      <c r="T40" s="35">
        <v>1173</v>
      </c>
      <c r="U40" s="35">
        <v>523</v>
      </c>
      <c r="V40" s="35">
        <v>334</v>
      </c>
      <c r="W40" s="33">
        <v>184</v>
      </c>
      <c r="X40" s="33">
        <v>112</v>
      </c>
      <c r="Y40" s="39">
        <v>0</v>
      </c>
    </row>
    <row r="41" spans="1:25" x14ac:dyDescent="0.25">
      <c r="A41" s="31">
        <v>0.3</v>
      </c>
      <c r="B41" s="32">
        <v>1500</v>
      </c>
      <c r="C41" s="33">
        <v>21559</v>
      </c>
      <c r="D41" s="33">
        <v>18208</v>
      </c>
      <c r="E41" s="33">
        <v>14718</v>
      </c>
      <c r="F41" s="34">
        <v>9252</v>
      </c>
      <c r="G41" s="34">
        <v>7091</v>
      </c>
      <c r="H41" s="34">
        <v>6091</v>
      </c>
      <c r="I41" s="35">
        <v>4818</v>
      </c>
      <c r="J41" s="35">
        <v>4243</v>
      </c>
      <c r="K41" s="35">
        <v>3557</v>
      </c>
      <c r="L41" s="35">
        <v>3134</v>
      </c>
      <c r="M41" s="35">
        <v>2981</v>
      </c>
      <c r="N41" s="35">
        <v>2720</v>
      </c>
      <c r="O41" s="35">
        <v>2658</v>
      </c>
      <c r="P41" s="35">
        <v>2491</v>
      </c>
      <c r="Q41" s="35">
        <v>2042</v>
      </c>
      <c r="R41" s="35">
        <v>1365</v>
      </c>
      <c r="S41" s="35">
        <v>1016</v>
      </c>
      <c r="T41" s="35">
        <v>813</v>
      </c>
      <c r="U41" s="35">
        <v>308</v>
      </c>
      <c r="V41" s="33">
        <v>210</v>
      </c>
      <c r="W41" s="33">
        <v>130</v>
      </c>
      <c r="X41" s="33">
        <v>57</v>
      </c>
      <c r="Y41" s="39">
        <v>0</v>
      </c>
    </row>
    <row r="42" spans="1:25" x14ac:dyDescent="0.25">
      <c r="A42" s="31">
        <v>0.3</v>
      </c>
      <c r="B42" s="32">
        <v>2000</v>
      </c>
      <c r="C42" s="33">
        <v>23993</v>
      </c>
      <c r="D42" s="33">
        <v>20257</v>
      </c>
      <c r="E42" s="33">
        <v>16367</v>
      </c>
      <c r="F42" s="34">
        <v>10134</v>
      </c>
      <c r="G42" s="34">
        <v>8179</v>
      </c>
      <c r="H42" s="34">
        <v>6790</v>
      </c>
      <c r="I42" s="35">
        <v>5171</v>
      </c>
      <c r="J42" s="35">
        <v>4462</v>
      </c>
      <c r="K42" s="35">
        <v>3759</v>
      </c>
      <c r="L42" s="35">
        <v>3490</v>
      </c>
      <c r="M42" s="35">
        <v>3410</v>
      </c>
      <c r="N42" s="35">
        <v>3232</v>
      </c>
      <c r="O42" s="35">
        <v>2894</v>
      </c>
      <c r="P42" s="35">
        <v>2672</v>
      </c>
      <c r="Q42" s="33">
        <v>1803</v>
      </c>
      <c r="R42" s="35">
        <v>1108</v>
      </c>
      <c r="S42" s="35">
        <v>822</v>
      </c>
      <c r="T42" s="33">
        <v>599</v>
      </c>
      <c r="U42" s="33">
        <v>254</v>
      </c>
      <c r="V42" s="33">
        <v>118</v>
      </c>
      <c r="W42" s="33">
        <v>88</v>
      </c>
      <c r="X42" s="33">
        <v>41</v>
      </c>
      <c r="Y42" s="39">
        <v>0</v>
      </c>
    </row>
    <row r="43" spans="1:25" x14ac:dyDescent="0.25">
      <c r="A43" s="31">
        <v>0.3</v>
      </c>
      <c r="B43" s="32">
        <v>2500</v>
      </c>
      <c r="C43" s="33">
        <v>26215</v>
      </c>
      <c r="D43" s="33">
        <v>22280</v>
      </c>
      <c r="E43" s="33">
        <v>18013</v>
      </c>
      <c r="F43" s="34">
        <v>10477</v>
      </c>
      <c r="G43" s="34">
        <v>8534</v>
      </c>
      <c r="H43" s="34">
        <v>7134</v>
      </c>
      <c r="I43" s="35">
        <v>5245</v>
      </c>
      <c r="J43" s="35">
        <v>4519</v>
      </c>
      <c r="K43" s="35">
        <v>3951</v>
      </c>
      <c r="L43" s="35">
        <v>3681</v>
      </c>
      <c r="M43" s="35">
        <v>3444</v>
      </c>
      <c r="N43" s="35">
        <v>3248</v>
      </c>
      <c r="O43" s="35">
        <v>2846</v>
      </c>
      <c r="P43" s="35">
        <v>2521</v>
      </c>
      <c r="Q43" s="33">
        <v>1168</v>
      </c>
      <c r="R43" s="33">
        <v>981</v>
      </c>
      <c r="S43" s="33">
        <v>732</v>
      </c>
      <c r="T43" s="33">
        <v>488</v>
      </c>
      <c r="U43" s="33">
        <v>292</v>
      </c>
      <c r="V43" s="33">
        <v>132</v>
      </c>
      <c r="W43" s="33">
        <v>47</v>
      </c>
      <c r="X43" s="33">
        <v>23</v>
      </c>
      <c r="Y43" s="39">
        <v>0</v>
      </c>
    </row>
    <row r="44" spans="1:25" x14ac:dyDescent="0.25">
      <c r="A44" s="31">
        <v>0.3</v>
      </c>
      <c r="B44" s="32">
        <v>3000</v>
      </c>
      <c r="C44" s="33">
        <v>27747</v>
      </c>
      <c r="D44" s="33">
        <v>23975</v>
      </c>
      <c r="E44" s="33">
        <v>19028</v>
      </c>
      <c r="F44" s="34">
        <v>10840</v>
      </c>
      <c r="G44" s="34">
        <v>8691</v>
      </c>
      <c r="H44" s="35">
        <v>7393</v>
      </c>
      <c r="I44" s="35">
        <v>5326</v>
      </c>
      <c r="J44" s="35">
        <v>4551</v>
      </c>
      <c r="K44" s="35">
        <v>4081</v>
      </c>
      <c r="L44" s="35">
        <v>3502</v>
      </c>
      <c r="M44" s="35">
        <v>3082</v>
      </c>
      <c r="N44" s="34">
        <v>2977</v>
      </c>
      <c r="O44" s="33">
        <v>2523</v>
      </c>
      <c r="P44" s="33">
        <v>1868</v>
      </c>
      <c r="Q44" s="33">
        <v>945</v>
      </c>
      <c r="R44" s="33">
        <v>852</v>
      </c>
      <c r="S44" s="33">
        <v>681</v>
      </c>
      <c r="T44" s="33">
        <v>534</v>
      </c>
      <c r="U44" s="33">
        <v>304</v>
      </c>
      <c r="V44" s="33">
        <v>161</v>
      </c>
      <c r="W44" s="33">
        <v>56</v>
      </c>
      <c r="X44" s="33">
        <v>21</v>
      </c>
      <c r="Y44" s="39">
        <v>0</v>
      </c>
    </row>
    <row r="45" spans="1:25" x14ac:dyDescent="0.25">
      <c r="A45" s="31">
        <v>0.3</v>
      </c>
      <c r="B45" s="32">
        <v>3500</v>
      </c>
      <c r="C45" s="33">
        <v>29254</v>
      </c>
      <c r="D45" s="33">
        <v>25440</v>
      </c>
      <c r="E45" s="33">
        <v>20427</v>
      </c>
      <c r="F45" s="34">
        <v>10948</v>
      </c>
      <c r="G45" s="34">
        <v>8793</v>
      </c>
      <c r="H45" s="35">
        <v>7585</v>
      </c>
      <c r="I45" s="35">
        <v>5600</v>
      </c>
      <c r="J45" s="35">
        <v>4681</v>
      </c>
      <c r="K45" s="35">
        <v>4195</v>
      </c>
      <c r="L45" s="35">
        <v>3283</v>
      </c>
      <c r="M45" s="35">
        <v>2967</v>
      </c>
      <c r="N45" s="33">
        <v>2695</v>
      </c>
      <c r="O45" s="33">
        <v>2389</v>
      </c>
      <c r="P45" s="33">
        <v>1788</v>
      </c>
      <c r="Q45" s="33">
        <v>1170</v>
      </c>
      <c r="R45" s="33">
        <v>895</v>
      </c>
      <c r="S45" s="33">
        <v>820</v>
      </c>
      <c r="T45" s="33">
        <v>675</v>
      </c>
      <c r="U45" s="33">
        <v>410</v>
      </c>
      <c r="V45" s="33">
        <v>226</v>
      </c>
      <c r="W45" s="33">
        <v>76</v>
      </c>
      <c r="X45" s="33">
        <v>29</v>
      </c>
      <c r="Y45" s="39">
        <v>0</v>
      </c>
    </row>
    <row r="46" spans="1:25" x14ac:dyDescent="0.25">
      <c r="A46" s="31">
        <v>0.3</v>
      </c>
      <c r="B46" s="32">
        <v>4000</v>
      </c>
      <c r="C46" s="33">
        <v>30763</v>
      </c>
      <c r="D46" s="33">
        <v>26771</v>
      </c>
      <c r="E46" s="33">
        <v>21520</v>
      </c>
      <c r="F46" s="34">
        <v>11006</v>
      </c>
      <c r="G46" s="34">
        <v>8997</v>
      </c>
      <c r="H46" s="35">
        <v>8017</v>
      </c>
      <c r="I46" s="35">
        <v>6253</v>
      </c>
      <c r="J46" s="35">
        <v>5184</v>
      </c>
      <c r="K46" s="35">
        <v>4271</v>
      </c>
      <c r="L46" s="34">
        <v>3344</v>
      </c>
      <c r="M46" s="33">
        <v>2951</v>
      </c>
      <c r="N46" s="33">
        <v>2648</v>
      </c>
      <c r="O46" s="33">
        <v>2383</v>
      </c>
      <c r="P46" s="33">
        <v>1960</v>
      </c>
      <c r="Q46" s="33">
        <v>1500</v>
      </c>
      <c r="R46" s="33">
        <v>1170</v>
      </c>
      <c r="S46" s="33">
        <v>1050</v>
      </c>
      <c r="T46" s="33">
        <v>850</v>
      </c>
      <c r="U46" s="33">
        <v>499</v>
      </c>
      <c r="V46" s="33">
        <v>264</v>
      </c>
      <c r="W46" s="33">
        <v>97</v>
      </c>
      <c r="X46" s="33">
        <v>39</v>
      </c>
      <c r="Y46" s="39">
        <v>0</v>
      </c>
    </row>
    <row r="47" spans="1:25" x14ac:dyDescent="0.25">
      <c r="A47" s="31">
        <v>0.3</v>
      </c>
      <c r="B47" s="32">
        <v>4500</v>
      </c>
      <c r="C47" s="33">
        <v>32150</v>
      </c>
      <c r="D47" s="33">
        <v>27994</v>
      </c>
      <c r="E47" s="33">
        <v>22599</v>
      </c>
      <c r="F47" s="34">
        <v>11137</v>
      </c>
      <c r="G47" s="35">
        <v>9388</v>
      </c>
      <c r="H47" s="35">
        <v>8517</v>
      </c>
      <c r="I47" s="35">
        <v>6725</v>
      </c>
      <c r="J47" s="35">
        <v>5594</v>
      </c>
      <c r="K47" s="35">
        <v>4329</v>
      </c>
      <c r="L47" s="34">
        <v>3504</v>
      </c>
      <c r="M47" s="33">
        <v>2981</v>
      </c>
      <c r="N47" s="33">
        <v>2677</v>
      </c>
      <c r="O47" s="33">
        <v>2408</v>
      </c>
      <c r="P47" s="33">
        <v>2094</v>
      </c>
      <c r="Q47" s="33">
        <v>1746</v>
      </c>
      <c r="R47" s="33">
        <v>1423</v>
      </c>
      <c r="S47" s="33">
        <v>1228</v>
      </c>
      <c r="T47" s="33">
        <v>998</v>
      </c>
      <c r="U47" s="33">
        <v>600</v>
      </c>
      <c r="V47" s="33">
        <v>304</v>
      </c>
      <c r="W47" s="33">
        <v>126</v>
      </c>
      <c r="X47" s="33">
        <v>59</v>
      </c>
      <c r="Y47" s="39">
        <v>0</v>
      </c>
    </row>
    <row r="48" spans="1:25" x14ac:dyDescent="0.25">
      <c r="A48" s="31">
        <v>0.3</v>
      </c>
      <c r="B48" s="32">
        <v>5000</v>
      </c>
      <c r="C48" s="33">
        <v>33465</v>
      </c>
      <c r="D48" s="33">
        <v>29133</v>
      </c>
      <c r="E48" s="33">
        <v>23700</v>
      </c>
      <c r="F48" s="34">
        <v>11600</v>
      </c>
      <c r="G48" s="35">
        <v>9705</v>
      </c>
      <c r="H48" s="35">
        <v>8845</v>
      </c>
      <c r="I48" s="35">
        <v>7103</v>
      </c>
      <c r="J48" s="35">
        <v>6052</v>
      </c>
      <c r="K48" s="35">
        <v>4369</v>
      </c>
      <c r="L48" s="35">
        <v>3655</v>
      </c>
      <c r="M48" s="33">
        <v>3048</v>
      </c>
      <c r="N48" s="33">
        <v>2739</v>
      </c>
      <c r="O48" s="33">
        <v>2449</v>
      </c>
      <c r="P48" s="33">
        <v>2139</v>
      </c>
      <c r="Q48" s="33">
        <v>1843</v>
      </c>
      <c r="R48" s="33">
        <v>1542</v>
      </c>
      <c r="S48" s="33">
        <v>1289</v>
      </c>
      <c r="T48" s="33">
        <v>1061</v>
      </c>
      <c r="U48" s="33">
        <v>665</v>
      </c>
      <c r="V48" s="33">
        <v>358</v>
      </c>
      <c r="W48" s="33">
        <v>165</v>
      </c>
      <c r="X48" s="33">
        <v>80</v>
      </c>
      <c r="Y48" s="39">
        <v>0</v>
      </c>
    </row>
    <row r="49" spans="1:25" x14ac:dyDescent="0.25">
      <c r="A49" s="31">
        <v>0.3</v>
      </c>
      <c r="B49" s="32">
        <v>5500</v>
      </c>
      <c r="C49" s="33">
        <v>34919</v>
      </c>
      <c r="D49" s="33">
        <v>30223</v>
      </c>
      <c r="E49" s="33">
        <v>24325</v>
      </c>
      <c r="F49" s="34">
        <v>12512</v>
      </c>
      <c r="G49" s="35">
        <v>10147</v>
      </c>
      <c r="H49" s="35">
        <v>9115</v>
      </c>
      <c r="I49" s="35">
        <v>7281</v>
      </c>
      <c r="J49" s="35">
        <v>6122</v>
      </c>
      <c r="K49" s="35">
        <v>4427</v>
      </c>
      <c r="L49" s="35">
        <v>3720</v>
      </c>
      <c r="M49" s="33">
        <v>3070</v>
      </c>
      <c r="N49" s="33">
        <v>2776</v>
      </c>
      <c r="O49" s="33">
        <v>2501</v>
      </c>
      <c r="P49" s="33">
        <v>2200</v>
      </c>
      <c r="Q49" s="33">
        <v>1881</v>
      </c>
      <c r="R49" s="33">
        <v>1636</v>
      </c>
      <c r="S49" s="33">
        <v>1377</v>
      </c>
      <c r="T49" s="33">
        <v>1153</v>
      </c>
      <c r="U49" s="33">
        <v>748</v>
      </c>
      <c r="V49" s="33">
        <v>418</v>
      </c>
      <c r="W49" s="33">
        <v>206</v>
      </c>
      <c r="X49" s="33">
        <v>100</v>
      </c>
      <c r="Y49" s="39">
        <v>0</v>
      </c>
    </row>
    <row r="50" spans="1:25" x14ac:dyDescent="0.25">
      <c r="A50" s="31">
        <v>0.3</v>
      </c>
      <c r="B50" s="32">
        <v>6000</v>
      </c>
      <c r="C50" s="33">
        <v>36122</v>
      </c>
      <c r="D50" s="33">
        <v>31241</v>
      </c>
      <c r="E50" s="33">
        <v>25169</v>
      </c>
      <c r="F50" s="34">
        <v>13522</v>
      </c>
      <c r="G50" s="35">
        <v>10870</v>
      </c>
      <c r="H50" s="35">
        <v>9576</v>
      </c>
      <c r="I50" s="35">
        <v>7398</v>
      </c>
      <c r="J50" s="35">
        <v>6323</v>
      </c>
      <c r="K50" s="35">
        <v>4481</v>
      </c>
      <c r="L50" s="33">
        <v>3685</v>
      </c>
      <c r="M50" s="33">
        <v>3104</v>
      </c>
      <c r="N50" s="33">
        <v>2773</v>
      </c>
      <c r="O50" s="33">
        <v>2543</v>
      </c>
      <c r="P50" s="33">
        <v>2247</v>
      </c>
      <c r="Q50" s="33">
        <v>1942</v>
      </c>
      <c r="R50" s="33">
        <v>1708</v>
      </c>
      <c r="S50" s="33">
        <v>1462</v>
      </c>
      <c r="T50" s="33">
        <v>1241</v>
      </c>
      <c r="U50" s="33">
        <v>828</v>
      </c>
      <c r="V50" s="33">
        <v>476</v>
      </c>
      <c r="W50" s="33">
        <v>244</v>
      </c>
      <c r="X50" s="33">
        <v>121</v>
      </c>
      <c r="Y50" s="39">
        <v>0</v>
      </c>
    </row>
    <row r="51" spans="1:25" x14ac:dyDescent="0.25">
      <c r="A51" s="31">
        <v>0.3</v>
      </c>
      <c r="B51" s="32">
        <v>6500</v>
      </c>
      <c r="C51" s="33">
        <v>37231</v>
      </c>
      <c r="D51" s="33">
        <v>32198</v>
      </c>
      <c r="E51" s="33">
        <v>25960</v>
      </c>
      <c r="F51" s="34">
        <v>14708</v>
      </c>
      <c r="G51" s="35">
        <v>11330</v>
      </c>
      <c r="H51" s="35">
        <v>10024</v>
      </c>
      <c r="I51" s="35">
        <v>7446</v>
      </c>
      <c r="J51" s="35">
        <v>6440</v>
      </c>
      <c r="K51" s="34">
        <v>4571</v>
      </c>
      <c r="L51" s="33">
        <v>3705</v>
      </c>
      <c r="M51" s="33">
        <v>3123</v>
      </c>
      <c r="N51" s="33">
        <v>2783</v>
      </c>
      <c r="O51" s="33">
        <v>2578</v>
      </c>
      <c r="P51" s="33">
        <v>2288</v>
      </c>
      <c r="Q51" s="33">
        <v>2004</v>
      </c>
      <c r="R51" s="33">
        <v>1783</v>
      </c>
      <c r="S51" s="33">
        <v>1543</v>
      </c>
      <c r="T51" s="33">
        <v>1320</v>
      </c>
      <c r="U51" s="33">
        <v>902</v>
      </c>
      <c r="V51" s="33">
        <v>532</v>
      </c>
      <c r="W51" s="33">
        <v>268</v>
      </c>
      <c r="X51" s="33">
        <v>142</v>
      </c>
      <c r="Y51" s="39">
        <v>0</v>
      </c>
    </row>
    <row r="52" spans="1:25" x14ac:dyDescent="0.25">
      <c r="A52" s="31">
        <v>0.3</v>
      </c>
      <c r="B52" s="32">
        <v>7000</v>
      </c>
      <c r="C52" s="33">
        <v>38099</v>
      </c>
      <c r="D52" s="33">
        <v>33093</v>
      </c>
      <c r="E52" s="33">
        <v>26558</v>
      </c>
      <c r="F52" s="34">
        <v>15513</v>
      </c>
      <c r="G52" s="35">
        <v>11759</v>
      </c>
      <c r="H52" s="35">
        <v>10532</v>
      </c>
      <c r="I52" s="35">
        <v>7599</v>
      </c>
      <c r="J52" s="35">
        <v>6469</v>
      </c>
      <c r="K52" s="35">
        <v>4650</v>
      </c>
      <c r="L52" s="33">
        <v>3772</v>
      </c>
      <c r="M52" s="33">
        <v>3155</v>
      </c>
      <c r="N52" s="33">
        <v>2812</v>
      </c>
      <c r="O52" s="33">
        <v>2605</v>
      </c>
      <c r="P52" s="33">
        <v>2327</v>
      </c>
      <c r="Q52" s="33">
        <v>2037</v>
      </c>
      <c r="R52" s="33">
        <v>1844</v>
      </c>
      <c r="S52" s="33">
        <v>1611</v>
      </c>
      <c r="T52" s="33">
        <v>1391</v>
      </c>
      <c r="U52" s="33">
        <v>970</v>
      </c>
      <c r="V52" s="33">
        <v>586</v>
      </c>
      <c r="W52" s="33">
        <v>303</v>
      </c>
      <c r="X52" s="33">
        <v>150</v>
      </c>
      <c r="Y52" s="39">
        <v>0</v>
      </c>
    </row>
    <row r="53" spans="1:25" x14ac:dyDescent="0.25">
      <c r="A53" s="31">
        <v>0.3</v>
      </c>
      <c r="B53" s="32">
        <v>7500</v>
      </c>
      <c r="C53" s="33">
        <v>38989</v>
      </c>
      <c r="D53" s="33">
        <v>34027</v>
      </c>
      <c r="E53" s="33">
        <v>27283</v>
      </c>
      <c r="F53" s="34">
        <v>16123</v>
      </c>
      <c r="G53" s="34">
        <v>12062</v>
      </c>
      <c r="H53" s="35">
        <v>10765</v>
      </c>
      <c r="I53" s="35">
        <v>7689</v>
      </c>
      <c r="J53" s="35">
        <v>6500</v>
      </c>
      <c r="K53" s="35">
        <v>4702</v>
      </c>
      <c r="L53" s="33">
        <v>3784</v>
      </c>
      <c r="M53" s="33">
        <v>3221</v>
      </c>
      <c r="N53" s="33">
        <v>2839</v>
      </c>
      <c r="O53" s="33">
        <v>2625</v>
      </c>
      <c r="P53" s="33">
        <v>2361</v>
      </c>
      <c r="Q53" s="33">
        <v>2095</v>
      </c>
      <c r="R53" s="33">
        <v>1898</v>
      </c>
      <c r="S53" s="33">
        <v>1673</v>
      </c>
      <c r="T53" s="33">
        <v>1456</v>
      </c>
      <c r="U53" s="33">
        <v>1029</v>
      </c>
      <c r="V53" s="33">
        <v>627</v>
      </c>
      <c r="W53" s="33">
        <v>331</v>
      </c>
      <c r="X53" s="33">
        <v>166</v>
      </c>
      <c r="Y53" s="39">
        <v>0</v>
      </c>
    </row>
    <row r="54" spans="1:25" x14ac:dyDescent="0.25">
      <c r="A54" s="31">
        <v>0.3</v>
      </c>
      <c r="B54" s="32">
        <v>8000</v>
      </c>
      <c r="C54" s="33">
        <v>39744</v>
      </c>
      <c r="D54" s="33">
        <v>34510</v>
      </c>
      <c r="E54" s="33">
        <v>27900</v>
      </c>
      <c r="F54" s="34">
        <v>16757</v>
      </c>
      <c r="G54" s="34">
        <v>12891</v>
      </c>
      <c r="H54" s="34">
        <v>11128</v>
      </c>
      <c r="I54" s="35">
        <v>7784</v>
      </c>
      <c r="J54" s="35">
        <v>6544</v>
      </c>
      <c r="K54" s="33">
        <v>4760</v>
      </c>
      <c r="L54" s="33">
        <v>3892</v>
      </c>
      <c r="M54" s="33">
        <v>3228</v>
      </c>
      <c r="N54" s="33">
        <v>2867</v>
      </c>
      <c r="O54" s="33">
        <v>2649</v>
      </c>
      <c r="P54" s="33">
        <v>2395</v>
      </c>
      <c r="Q54" s="33">
        <v>2126</v>
      </c>
      <c r="R54" s="33">
        <v>1946</v>
      </c>
      <c r="S54" s="33">
        <v>1728</v>
      </c>
      <c r="T54" s="33">
        <v>1514</v>
      </c>
      <c r="U54" s="33">
        <v>1083</v>
      </c>
      <c r="V54" s="33">
        <v>664</v>
      </c>
      <c r="W54" s="33">
        <v>356</v>
      </c>
      <c r="X54" s="33">
        <v>181</v>
      </c>
      <c r="Y54" s="39">
        <v>0</v>
      </c>
    </row>
    <row r="55" spans="1:25" x14ac:dyDescent="0.25">
      <c r="A55" s="40"/>
      <c r="B55" s="32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32"/>
    </row>
    <row r="56" spans="1:25" x14ac:dyDescent="0.25">
      <c r="A56" s="31">
        <v>0.5</v>
      </c>
      <c r="B56" s="32">
        <v>0</v>
      </c>
      <c r="C56" s="33">
        <v>7743</v>
      </c>
      <c r="D56" s="33">
        <v>6834</v>
      </c>
      <c r="E56" s="33">
        <v>5910</v>
      </c>
      <c r="F56" s="34">
        <v>4720</v>
      </c>
      <c r="G56" s="34">
        <v>4136</v>
      </c>
      <c r="H56" s="34">
        <v>3342</v>
      </c>
      <c r="I56" s="34">
        <v>2518</v>
      </c>
      <c r="J56" s="34">
        <v>1607</v>
      </c>
      <c r="K56" s="34">
        <v>1129</v>
      </c>
      <c r="L56" s="34">
        <v>798</v>
      </c>
      <c r="M56" s="34">
        <v>557</v>
      </c>
      <c r="N56" s="34">
        <v>404</v>
      </c>
      <c r="O56" s="34">
        <v>308</v>
      </c>
      <c r="P56" s="34">
        <v>245</v>
      </c>
      <c r="Q56" s="34">
        <v>209</v>
      </c>
      <c r="R56" s="34">
        <v>188</v>
      </c>
      <c r="S56" s="40">
        <v>163</v>
      </c>
      <c r="T56" s="40">
        <v>159</v>
      </c>
      <c r="U56" s="40">
        <v>157</v>
      </c>
      <c r="V56" s="40">
        <v>156</v>
      </c>
      <c r="W56" s="40">
        <v>137</v>
      </c>
      <c r="X56" s="40">
        <v>105</v>
      </c>
      <c r="Y56" s="32">
        <v>0</v>
      </c>
    </row>
    <row r="57" spans="1:25" x14ac:dyDescent="0.25">
      <c r="A57" s="31">
        <v>0.5</v>
      </c>
      <c r="B57" s="32">
        <v>50</v>
      </c>
      <c r="C57" s="33">
        <v>7983</v>
      </c>
      <c r="D57" s="33">
        <v>7004</v>
      </c>
      <c r="E57" s="33">
        <v>6274</v>
      </c>
      <c r="F57" s="34">
        <v>5355</v>
      </c>
      <c r="G57" s="34">
        <v>4711</v>
      </c>
      <c r="H57" s="34">
        <v>3853</v>
      </c>
      <c r="I57" s="34">
        <v>2989</v>
      </c>
      <c r="J57" s="34">
        <v>2170</v>
      </c>
      <c r="K57" s="34">
        <v>1731</v>
      </c>
      <c r="L57" s="34">
        <v>1344</v>
      </c>
      <c r="M57" s="34">
        <v>1119</v>
      </c>
      <c r="N57" s="34">
        <v>958</v>
      </c>
      <c r="O57" s="34">
        <v>852</v>
      </c>
      <c r="P57" s="34">
        <v>775</v>
      </c>
      <c r="Q57" s="40">
        <v>684</v>
      </c>
      <c r="R57" s="40">
        <v>556</v>
      </c>
      <c r="S57" s="40">
        <v>495</v>
      </c>
      <c r="T57" s="40">
        <v>465</v>
      </c>
      <c r="U57" s="40">
        <v>407</v>
      </c>
      <c r="V57" s="40">
        <v>395</v>
      </c>
      <c r="W57" s="40">
        <v>282</v>
      </c>
      <c r="X57" s="40">
        <v>235</v>
      </c>
      <c r="Y57" s="32">
        <v>0</v>
      </c>
    </row>
    <row r="58" spans="1:25" x14ac:dyDescent="0.25">
      <c r="A58" s="31">
        <v>0.5</v>
      </c>
      <c r="B58" s="32">
        <v>100</v>
      </c>
      <c r="C58" s="33">
        <v>8478</v>
      </c>
      <c r="D58" s="33">
        <v>7421</v>
      </c>
      <c r="E58" s="33">
        <v>6632</v>
      </c>
      <c r="F58" s="34">
        <v>5627</v>
      </c>
      <c r="G58" s="34">
        <v>5080</v>
      </c>
      <c r="H58" s="34">
        <v>4057</v>
      </c>
      <c r="I58" s="34">
        <v>3317</v>
      </c>
      <c r="J58" s="34">
        <v>2754</v>
      </c>
      <c r="K58" s="34">
        <v>2270</v>
      </c>
      <c r="L58" s="34">
        <v>1988</v>
      </c>
      <c r="M58" s="34">
        <v>1704</v>
      </c>
      <c r="N58" s="34">
        <v>1399</v>
      </c>
      <c r="O58" s="34">
        <v>1316</v>
      </c>
      <c r="P58" s="34">
        <v>1229</v>
      </c>
      <c r="Q58" s="40">
        <v>1188</v>
      </c>
      <c r="R58" s="40">
        <v>1122</v>
      </c>
      <c r="S58" s="40">
        <v>1116</v>
      </c>
      <c r="T58" s="40">
        <v>1109</v>
      </c>
      <c r="U58" s="40">
        <v>940</v>
      </c>
      <c r="V58" s="40">
        <v>711</v>
      </c>
      <c r="W58" s="40">
        <v>523</v>
      </c>
      <c r="X58" s="40">
        <v>417</v>
      </c>
      <c r="Y58" s="32">
        <v>0</v>
      </c>
    </row>
    <row r="59" spans="1:25" x14ac:dyDescent="0.25">
      <c r="A59" s="31">
        <v>0.5</v>
      </c>
      <c r="B59" s="32">
        <v>300</v>
      </c>
      <c r="C59" s="33">
        <v>10280</v>
      </c>
      <c r="D59" s="33">
        <v>8983</v>
      </c>
      <c r="E59" s="33">
        <v>7804</v>
      </c>
      <c r="F59" s="34">
        <v>6235</v>
      </c>
      <c r="G59" s="34">
        <v>5491</v>
      </c>
      <c r="H59" s="34">
        <v>4193</v>
      </c>
      <c r="I59" s="34">
        <v>3498</v>
      </c>
      <c r="J59" s="34">
        <v>3165</v>
      </c>
      <c r="K59" s="34">
        <v>2835</v>
      </c>
      <c r="L59" s="34">
        <v>2537</v>
      </c>
      <c r="M59" s="34">
        <v>2243</v>
      </c>
      <c r="N59" s="34">
        <v>2028</v>
      </c>
      <c r="O59" s="34">
        <v>1826</v>
      </c>
      <c r="P59" s="34">
        <v>1647</v>
      </c>
      <c r="Q59" s="40">
        <v>1611</v>
      </c>
      <c r="R59" s="40">
        <v>1545</v>
      </c>
      <c r="S59" s="40">
        <v>1503</v>
      </c>
      <c r="T59" s="40">
        <v>1464</v>
      </c>
      <c r="U59" s="40">
        <v>1255</v>
      </c>
      <c r="V59" s="40">
        <v>749</v>
      </c>
      <c r="W59" s="40">
        <v>592</v>
      </c>
      <c r="X59" s="40">
        <v>449</v>
      </c>
      <c r="Y59" s="32">
        <v>0</v>
      </c>
    </row>
    <row r="60" spans="1:25" x14ac:dyDescent="0.25">
      <c r="A60" s="31">
        <v>0.5</v>
      </c>
      <c r="B60" s="32">
        <v>500</v>
      </c>
      <c r="C60" s="33">
        <v>12694</v>
      </c>
      <c r="D60" s="33">
        <v>10885</v>
      </c>
      <c r="E60" s="33">
        <v>9073</v>
      </c>
      <c r="F60" s="34">
        <v>7008</v>
      </c>
      <c r="G60" s="34">
        <v>5780</v>
      </c>
      <c r="H60" s="34">
        <v>4281</v>
      </c>
      <c r="I60" s="34">
        <v>3671</v>
      </c>
      <c r="J60" s="34">
        <v>3339</v>
      </c>
      <c r="K60" s="34">
        <v>3157</v>
      </c>
      <c r="L60" s="34">
        <v>2811</v>
      </c>
      <c r="M60" s="34">
        <v>2462</v>
      </c>
      <c r="N60" s="34">
        <v>2253</v>
      </c>
      <c r="O60" s="40">
        <v>1933</v>
      </c>
      <c r="P60" s="40">
        <v>1711</v>
      </c>
      <c r="Q60" s="40">
        <v>1651</v>
      </c>
      <c r="R60" s="40">
        <v>1630</v>
      </c>
      <c r="S60" s="40">
        <v>1534</v>
      </c>
      <c r="T60" s="40">
        <v>1506</v>
      </c>
      <c r="U60" s="40">
        <v>1177</v>
      </c>
      <c r="V60" s="40">
        <v>676</v>
      </c>
      <c r="W60" s="40">
        <v>476</v>
      </c>
      <c r="X60" s="40">
        <v>300</v>
      </c>
      <c r="Y60" s="32">
        <v>0</v>
      </c>
    </row>
    <row r="61" spans="1:25" x14ac:dyDescent="0.25">
      <c r="A61" s="31">
        <v>0.5</v>
      </c>
      <c r="B61" s="32">
        <v>750</v>
      </c>
      <c r="C61" s="33">
        <v>15186</v>
      </c>
      <c r="D61" s="33">
        <v>12992</v>
      </c>
      <c r="E61" s="33">
        <v>10624</v>
      </c>
      <c r="F61" s="34">
        <v>7610</v>
      </c>
      <c r="G61" s="34">
        <v>5957</v>
      </c>
      <c r="H61" s="34">
        <v>4356</v>
      </c>
      <c r="I61" s="40">
        <v>3855</v>
      </c>
      <c r="J61" s="40">
        <v>3630</v>
      </c>
      <c r="K61" s="34">
        <v>3442</v>
      </c>
      <c r="L61" s="34">
        <v>2994</v>
      </c>
      <c r="M61" s="34">
        <v>2680</v>
      </c>
      <c r="N61" s="34">
        <v>2379</v>
      </c>
      <c r="O61" s="40">
        <v>1982</v>
      </c>
      <c r="P61" s="40">
        <v>1740</v>
      </c>
      <c r="Q61" s="40">
        <v>1699</v>
      </c>
      <c r="R61" s="40">
        <v>1615</v>
      </c>
      <c r="S61" s="40">
        <v>1469</v>
      </c>
      <c r="T61" s="40">
        <v>1307</v>
      </c>
      <c r="U61" s="40">
        <v>684</v>
      </c>
      <c r="V61" s="40">
        <v>503</v>
      </c>
      <c r="W61" s="40">
        <v>274</v>
      </c>
      <c r="X61" s="40">
        <v>209</v>
      </c>
      <c r="Y61" s="32">
        <v>0</v>
      </c>
    </row>
    <row r="62" spans="1:25" x14ac:dyDescent="0.25">
      <c r="A62" s="31">
        <v>0.5</v>
      </c>
      <c r="B62" s="32">
        <v>1000</v>
      </c>
      <c r="C62" s="33">
        <v>17460</v>
      </c>
      <c r="D62" s="33">
        <v>14778</v>
      </c>
      <c r="E62" s="33">
        <v>12051</v>
      </c>
      <c r="F62" s="34">
        <v>8057</v>
      </c>
      <c r="G62" s="34">
        <v>6145</v>
      </c>
      <c r="H62" s="40">
        <v>4629</v>
      </c>
      <c r="I62" s="40">
        <v>4062</v>
      </c>
      <c r="J62" s="40">
        <v>3870</v>
      </c>
      <c r="K62" s="34">
        <v>3684</v>
      </c>
      <c r="L62" s="34">
        <v>3304</v>
      </c>
      <c r="M62" s="34">
        <v>3109</v>
      </c>
      <c r="N62" s="40">
        <v>2885</v>
      </c>
      <c r="O62" s="40">
        <v>2613</v>
      </c>
      <c r="P62" s="40">
        <v>2251</v>
      </c>
      <c r="Q62" s="40">
        <v>1927</v>
      </c>
      <c r="R62" s="40">
        <v>1599</v>
      </c>
      <c r="S62" s="40">
        <v>1399</v>
      </c>
      <c r="T62" s="40">
        <v>1179</v>
      </c>
      <c r="U62" s="40">
        <v>540</v>
      </c>
      <c r="V62" s="40">
        <v>362</v>
      </c>
      <c r="W62" s="40">
        <v>186</v>
      </c>
      <c r="X62" s="34">
        <v>119</v>
      </c>
      <c r="Y62" s="41">
        <v>0</v>
      </c>
    </row>
    <row r="63" spans="1:25" x14ac:dyDescent="0.25">
      <c r="A63" s="31">
        <v>0.5</v>
      </c>
      <c r="B63" s="32">
        <v>1500</v>
      </c>
      <c r="C63" s="33">
        <v>20438</v>
      </c>
      <c r="D63" s="33">
        <v>17191</v>
      </c>
      <c r="E63" s="33">
        <v>13972</v>
      </c>
      <c r="F63" s="34">
        <v>9365</v>
      </c>
      <c r="G63" s="34">
        <v>7340</v>
      </c>
      <c r="H63" s="40">
        <v>6298</v>
      </c>
      <c r="I63" s="40">
        <v>5248</v>
      </c>
      <c r="J63" s="34">
        <v>4711</v>
      </c>
      <c r="K63" s="40">
        <v>4048</v>
      </c>
      <c r="L63" s="40">
        <v>3594</v>
      </c>
      <c r="M63" s="34">
        <v>3491</v>
      </c>
      <c r="N63" s="40">
        <v>3278</v>
      </c>
      <c r="O63" s="40">
        <v>3149</v>
      </c>
      <c r="P63" s="40">
        <v>2774</v>
      </c>
      <c r="Q63" s="40">
        <v>2123</v>
      </c>
      <c r="R63" s="40">
        <v>1382</v>
      </c>
      <c r="S63" s="40">
        <v>1056</v>
      </c>
      <c r="T63" s="40">
        <v>833</v>
      </c>
      <c r="U63" s="40">
        <v>310</v>
      </c>
      <c r="V63" s="40">
        <v>215</v>
      </c>
      <c r="W63" s="40">
        <v>134</v>
      </c>
      <c r="X63" s="33">
        <v>65</v>
      </c>
      <c r="Y63" s="39">
        <v>0</v>
      </c>
    </row>
    <row r="64" spans="1:25" x14ac:dyDescent="0.25">
      <c r="A64" s="31">
        <v>0.5</v>
      </c>
      <c r="B64" s="32">
        <v>2000</v>
      </c>
      <c r="C64" s="33">
        <v>22719</v>
      </c>
      <c r="D64" s="33">
        <v>19293</v>
      </c>
      <c r="E64" s="33">
        <v>15591</v>
      </c>
      <c r="F64" s="34">
        <v>10327</v>
      </c>
      <c r="G64" s="34">
        <v>8310</v>
      </c>
      <c r="H64" s="34">
        <v>7309</v>
      </c>
      <c r="I64" s="40">
        <v>5675</v>
      </c>
      <c r="J64" s="40">
        <v>5017</v>
      </c>
      <c r="K64" s="40">
        <v>4215</v>
      </c>
      <c r="L64" s="40">
        <v>3772</v>
      </c>
      <c r="M64" s="40">
        <v>3693</v>
      </c>
      <c r="N64" s="40">
        <v>3578</v>
      </c>
      <c r="O64" s="40">
        <v>3169</v>
      </c>
      <c r="P64" s="40">
        <v>2795</v>
      </c>
      <c r="Q64" s="40">
        <v>1850</v>
      </c>
      <c r="R64" s="40">
        <v>1115</v>
      </c>
      <c r="S64" s="40">
        <v>832</v>
      </c>
      <c r="T64" s="40">
        <v>603</v>
      </c>
      <c r="U64" s="40">
        <v>260</v>
      </c>
      <c r="V64" s="33">
        <v>132</v>
      </c>
      <c r="W64" s="33">
        <v>89</v>
      </c>
      <c r="X64" s="33">
        <v>43</v>
      </c>
      <c r="Y64" s="39">
        <v>0</v>
      </c>
    </row>
    <row r="65" spans="1:25" x14ac:dyDescent="0.25">
      <c r="A65" s="31">
        <v>0.5</v>
      </c>
      <c r="B65" s="32">
        <v>2500</v>
      </c>
      <c r="C65" s="33">
        <v>25104</v>
      </c>
      <c r="D65" s="33">
        <v>20961</v>
      </c>
      <c r="E65" s="33">
        <v>17081</v>
      </c>
      <c r="F65" s="34">
        <v>10751</v>
      </c>
      <c r="G65" s="34">
        <v>8703</v>
      </c>
      <c r="H65" s="34">
        <v>7675</v>
      </c>
      <c r="I65" s="40">
        <v>5987</v>
      </c>
      <c r="J65" s="40">
        <v>5151</v>
      </c>
      <c r="K65" s="40">
        <v>4435</v>
      </c>
      <c r="L65" s="40">
        <v>3863</v>
      </c>
      <c r="M65" s="40">
        <v>3759</v>
      </c>
      <c r="N65" s="40">
        <v>3478</v>
      </c>
      <c r="O65" s="40">
        <v>3017</v>
      </c>
      <c r="P65" s="40">
        <v>2647</v>
      </c>
      <c r="Q65" s="40">
        <v>1176</v>
      </c>
      <c r="R65" s="40">
        <v>1009</v>
      </c>
      <c r="S65" s="34">
        <v>780</v>
      </c>
      <c r="T65" s="33">
        <v>492</v>
      </c>
      <c r="U65" s="33">
        <v>296</v>
      </c>
      <c r="V65" s="33">
        <v>145</v>
      </c>
      <c r="W65" s="33">
        <v>48</v>
      </c>
      <c r="X65" s="33">
        <v>24</v>
      </c>
      <c r="Y65" s="39">
        <v>0</v>
      </c>
    </row>
    <row r="66" spans="1:25" x14ac:dyDescent="0.25">
      <c r="A66" s="31">
        <v>0.5</v>
      </c>
      <c r="B66" s="32">
        <v>3000</v>
      </c>
      <c r="C66" s="33">
        <v>26621</v>
      </c>
      <c r="D66" s="33">
        <v>22486</v>
      </c>
      <c r="E66" s="33">
        <v>18273</v>
      </c>
      <c r="F66" s="34">
        <v>11002</v>
      </c>
      <c r="G66" s="34">
        <v>8920</v>
      </c>
      <c r="H66" s="40">
        <v>8034</v>
      </c>
      <c r="I66" s="40">
        <v>6194</v>
      </c>
      <c r="J66" s="34">
        <v>5168</v>
      </c>
      <c r="K66" s="40">
        <v>4595</v>
      </c>
      <c r="L66" s="40">
        <v>3955</v>
      </c>
      <c r="M66" s="40">
        <v>3690</v>
      </c>
      <c r="N66" s="40">
        <v>3216</v>
      </c>
      <c r="O66" s="40">
        <v>2761</v>
      </c>
      <c r="P66" s="40">
        <v>1905</v>
      </c>
      <c r="Q66" s="40">
        <v>948</v>
      </c>
      <c r="R66" s="40">
        <v>862</v>
      </c>
      <c r="S66" s="33">
        <v>698</v>
      </c>
      <c r="T66" s="33">
        <v>560</v>
      </c>
      <c r="U66" s="33">
        <v>306</v>
      </c>
      <c r="V66" s="33">
        <v>163</v>
      </c>
      <c r="W66" s="33">
        <v>58</v>
      </c>
      <c r="X66" s="33">
        <v>22</v>
      </c>
      <c r="Y66" s="39">
        <v>0</v>
      </c>
    </row>
    <row r="67" spans="1:25" x14ac:dyDescent="0.25">
      <c r="A67" s="31">
        <v>0.5</v>
      </c>
      <c r="B67" s="32">
        <v>3500</v>
      </c>
      <c r="C67" s="33">
        <v>28248</v>
      </c>
      <c r="D67" s="33">
        <v>23838</v>
      </c>
      <c r="E67" s="33">
        <v>19186</v>
      </c>
      <c r="F67" s="40">
        <v>11141</v>
      </c>
      <c r="G67" s="40">
        <v>9008</v>
      </c>
      <c r="H67" s="40">
        <v>8154</v>
      </c>
      <c r="I67" s="40">
        <v>6399</v>
      </c>
      <c r="J67" s="40">
        <v>5384</v>
      </c>
      <c r="K67" s="34">
        <v>4757</v>
      </c>
      <c r="L67" s="40">
        <v>3992</v>
      </c>
      <c r="M67" s="40">
        <v>3489</v>
      </c>
      <c r="N67" s="34">
        <v>3066</v>
      </c>
      <c r="O67" s="34">
        <v>2723</v>
      </c>
      <c r="P67" s="34">
        <v>1856</v>
      </c>
      <c r="Q67" s="33">
        <v>1201</v>
      </c>
      <c r="R67" s="33">
        <v>899</v>
      </c>
      <c r="S67" s="33">
        <v>825</v>
      </c>
      <c r="T67" s="33">
        <v>681</v>
      </c>
      <c r="U67" s="33">
        <v>420</v>
      </c>
      <c r="V67" s="33">
        <v>229</v>
      </c>
      <c r="W67" s="33">
        <v>77</v>
      </c>
      <c r="X67" s="33">
        <v>30</v>
      </c>
      <c r="Y67" s="39">
        <v>0</v>
      </c>
    </row>
    <row r="68" spans="1:25" x14ac:dyDescent="0.25">
      <c r="A68" s="31">
        <v>0.5</v>
      </c>
      <c r="B68" s="32">
        <v>4000</v>
      </c>
      <c r="C68" s="33">
        <v>29719</v>
      </c>
      <c r="D68" s="33">
        <v>25071</v>
      </c>
      <c r="E68" s="33">
        <v>20019</v>
      </c>
      <c r="F68" s="40">
        <v>11201</v>
      </c>
      <c r="G68" s="40">
        <v>9267</v>
      </c>
      <c r="H68" s="40">
        <v>8238</v>
      </c>
      <c r="I68" s="40">
        <v>6955</v>
      </c>
      <c r="J68" s="40">
        <v>5858</v>
      </c>
      <c r="K68" s="40">
        <v>4922</v>
      </c>
      <c r="L68" s="34">
        <v>4029</v>
      </c>
      <c r="M68" s="34">
        <v>3355</v>
      </c>
      <c r="N68" s="34">
        <v>2991</v>
      </c>
      <c r="O68" s="34">
        <v>2692</v>
      </c>
      <c r="P68" s="33">
        <v>2090</v>
      </c>
      <c r="Q68" s="33">
        <v>1540</v>
      </c>
      <c r="R68" s="33">
        <v>1180</v>
      </c>
      <c r="S68" s="33">
        <v>1060</v>
      </c>
      <c r="T68" s="33">
        <v>870</v>
      </c>
      <c r="U68" s="33">
        <v>532</v>
      </c>
      <c r="V68" s="33">
        <v>271</v>
      </c>
      <c r="W68" s="33">
        <v>98</v>
      </c>
      <c r="X68" s="33">
        <v>39</v>
      </c>
      <c r="Y68" s="39">
        <v>0</v>
      </c>
    </row>
    <row r="69" spans="1:25" x14ac:dyDescent="0.25">
      <c r="A69" s="31">
        <v>0.5</v>
      </c>
      <c r="B69" s="32">
        <v>4500</v>
      </c>
      <c r="C69" s="33">
        <v>31075</v>
      </c>
      <c r="D69" s="33">
        <v>26215</v>
      </c>
      <c r="E69" s="33">
        <v>20508</v>
      </c>
      <c r="F69" s="40">
        <v>11429</v>
      </c>
      <c r="G69" s="40">
        <v>9919</v>
      </c>
      <c r="H69" s="40">
        <v>8968</v>
      </c>
      <c r="I69" s="40">
        <v>7201</v>
      </c>
      <c r="J69" s="40">
        <v>6212</v>
      </c>
      <c r="K69" s="40">
        <v>5083</v>
      </c>
      <c r="L69" s="34">
        <v>4098</v>
      </c>
      <c r="M69" s="34">
        <v>3257</v>
      </c>
      <c r="N69" s="34">
        <v>2958</v>
      </c>
      <c r="O69" s="33">
        <v>2663</v>
      </c>
      <c r="P69" s="33">
        <v>2204</v>
      </c>
      <c r="Q69" s="33">
        <v>1776</v>
      </c>
      <c r="R69" s="33">
        <v>1437</v>
      </c>
      <c r="S69" s="33">
        <v>1240</v>
      </c>
      <c r="T69" s="33">
        <v>1003</v>
      </c>
      <c r="U69" s="33">
        <v>612</v>
      </c>
      <c r="V69" s="33">
        <v>315</v>
      </c>
      <c r="W69" s="33">
        <v>124</v>
      </c>
      <c r="X69" s="33">
        <v>54</v>
      </c>
      <c r="Y69" s="39">
        <v>0</v>
      </c>
    </row>
    <row r="70" spans="1:25" x14ac:dyDescent="0.25">
      <c r="A70" s="31">
        <v>0.5</v>
      </c>
      <c r="B70" s="32">
        <v>5000</v>
      </c>
      <c r="C70" s="33">
        <v>32376</v>
      </c>
      <c r="D70" s="33">
        <v>27279</v>
      </c>
      <c r="E70" s="33">
        <v>21190</v>
      </c>
      <c r="F70" s="40">
        <v>11913</v>
      </c>
      <c r="G70" s="40">
        <v>10245</v>
      </c>
      <c r="H70" s="40">
        <v>9208</v>
      </c>
      <c r="I70" s="40">
        <v>7321</v>
      </c>
      <c r="J70" s="40">
        <v>6399</v>
      </c>
      <c r="K70" s="40">
        <v>5162</v>
      </c>
      <c r="L70" s="34">
        <v>4132</v>
      </c>
      <c r="M70" s="34">
        <v>3186</v>
      </c>
      <c r="N70" s="33">
        <v>2907</v>
      </c>
      <c r="O70" s="33">
        <v>2639</v>
      </c>
      <c r="P70" s="33">
        <v>2230</v>
      </c>
      <c r="Q70" s="33">
        <v>1858</v>
      </c>
      <c r="R70" s="33">
        <v>1551</v>
      </c>
      <c r="S70" s="33">
        <v>1310</v>
      </c>
      <c r="T70" s="33">
        <v>1085</v>
      </c>
      <c r="U70" s="33">
        <v>693</v>
      </c>
      <c r="V70" s="33">
        <v>368</v>
      </c>
      <c r="W70" s="33">
        <v>153</v>
      </c>
      <c r="X70" s="33">
        <v>70</v>
      </c>
      <c r="Y70" s="39">
        <v>0</v>
      </c>
    </row>
    <row r="71" spans="1:25" x14ac:dyDescent="0.25">
      <c r="A71" s="31">
        <v>0.5</v>
      </c>
      <c r="B71" s="32">
        <v>5500</v>
      </c>
      <c r="C71" s="33">
        <v>33684</v>
      </c>
      <c r="D71" s="33">
        <v>28306</v>
      </c>
      <c r="E71" s="33">
        <v>22359</v>
      </c>
      <c r="F71" s="40">
        <v>12695</v>
      </c>
      <c r="G71" s="40">
        <v>10581</v>
      </c>
      <c r="H71" s="40">
        <v>9306</v>
      </c>
      <c r="I71" s="40">
        <v>7407</v>
      </c>
      <c r="J71" s="40">
        <v>6209</v>
      </c>
      <c r="K71" s="40">
        <v>5291</v>
      </c>
      <c r="L71" s="34">
        <v>4141</v>
      </c>
      <c r="M71" s="34">
        <v>3175</v>
      </c>
      <c r="N71" s="33">
        <v>2896</v>
      </c>
      <c r="O71" s="33">
        <v>2637</v>
      </c>
      <c r="P71" s="33">
        <v>2259</v>
      </c>
      <c r="Q71" s="33">
        <v>1927</v>
      </c>
      <c r="R71" s="33">
        <v>1651</v>
      </c>
      <c r="S71" s="33">
        <v>1401</v>
      </c>
      <c r="T71" s="33">
        <v>1178</v>
      </c>
      <c r="U71" s="33">
        <v>772</v>
      </c>
      <c r="V71" s="33">
        <v>423</v>
      </c>
      <c r="W71" s="33">
        <v>186</v>
      </c>
      <c r="X71" s="33">
        <v>86</v>
      </c>
      <c r="Y71" s="39">
        <v>0</v>
      </c>
    </row>
    <row r="72" spans="1:25" x14ac:dyDescent="0.25">
      <c r="A72" s="31">
        <v>0.5</v>
      </c>
      <c r="B72" s="32">
        <v>6000</v>
      </c>
      <c r="C72" s="33">
        <v>34756</v>
      </c>
      <c r="D72" s="33">
        <v>29261</v>
      </c>
      <c r="E72" s="33">
        <v>23302</v>
      </c>
      <c r="F72" s="34">
        <v>14018</v>
      </c>
      <c r="G72" s="40">
        <v>11114</v>
      </c>
      <c r="H72" s="40">
        <v>9598</v>
      </c>
      <c r="I72" s="40">
        <v>7526</v>
      </c>
      <c r="J72" s="40">
        <v>6332</v>
      </c>
      <c r="K72" s="40">
        <v>5399</v>
      </c>
      <c r="L72" s="34">
        <v>4190</v>
      </c>
      <c r="M72" s="33">
        <v>3180</v>
      </c>
      <c r="N72" s="33">
        <v>2913</v>
      </c>
      <c r="O72" s="33">
        <v>2652</v>
      </c>
      <c r="P72" s="33">
        <v>2287</v>
      </c>
      <c r="Q72" s="33">
        <v>1985</v>
      </c>
      <c r="R72" s="33">
        <v>1728</v>
      </c>
      <c r="S72" s="33">
        <v>1482</v>
      </c>
      <c r="T72" s="33">
        <v>1263</v>
      </c>
      <c r="U72" s="33">
        <v>850</v>
      </c>
      <c r="V72" s="33">
        <v>478</v>
      </c>
      <c r="W72" s="33">
        <v>220</v>
      </c>
      <c r="X72" s="33">
        <v>103</v>
      </c>
      <c r="Y72" s="39">
        <v>0</v>
      </c>
    </row>
    <row r="73" spans="1:25" x14ac:dyDescent="0.25">
      <c r="A73" s="31">
        <v>0.5</v>
      </c>
      <c r="B73" s="32">
        <v>6500</v>
      </c>
      <c r="C73" s="33">
        <v>35781</v>
      </c>
      <c r="D73" s="33">
        <v>30153</v>
      </c>
      <c r="E73" s="33">
        <v>24141</v>
      </c>
      <c r="F73" s="40">
        <v>14945</v>
      </c>
      <c r="G73" s="40">
        <v>11567</v>
      </c>
      <c r="H73" s="40">
        <v>9948</v>
      </c>
      <c r="I73" s="40">
        <v>7751</v>
      </c>
      <c r="J73" s="40">
        <v>6496</v>
      </c>
      <c r="K73" s="40">
        <v>5481</v>
      </c>
      <c r="L73" s="34">
        <v>4230</v>
      </c>
      <c r="M73" s="33">
        <v>3246</v>
      </c>
      <c r="N73" s="33">
        <v>2935</v>
      </c>
      <c r="O73" s="33">
        <v>2666</v>
      </c>
      <c r="P73" s="33">
        <v>2319</v>
      </c>
      <c r="Q73" s="33">
        <v>2029</v>
      </c>
      <c r="R73" s="33">
        <v>1797</v>
      </c>
      <c r="S73" s="33">
        <v>1560</v>
      </c>
      <c r="T73" s="33">
        <v>1342</v>
      </c>
      <c r="U73" s="33">
        <v>927</v>
      </c>
      <c r="V73" s="33">
        <v>534</v>
      </c>
      <c r="W73" s="33">
        <v>254</v>
      </c>
      <c r="X73" s="33">
        <v>121</v>
      </c>
      <c r="Y73" s="39">
        <v>0</v>
      </c>
    </row>
    <row r="74" spans="1:25" x14ac:dyDescent="0.25">
      <c r="A74" s="31">
        <v>0.5</v>
      </c>
      <c r="B74" s="32">
        <v>7000</v>
      </c>
      <c r="C74" s="33">
        <v>36804</v>
      </c>
      <c r="D74" s="33">
        <v>30962</v>
      </c>
      <c r="E74" s="33">
        <v>24952</v>
      </c>
      <c r="F74" s="40">
        <v>15581</v>
      </c>
      <c r="G74" s="40">
        <v>12151</v>
      </c>
      <c r="H74" s="40">
        <v>10333</v>
      </c>
      <c r="I74" s="40">
        <v>8027</v>
      </c>
      <c r="J74" s="40">
        <v>6828</v>
      </c>
      <c r="K74" s="40">
        <v>5588</v>
      </c>
      <c r="L74" s="34">
        <v>4307</v>
      </c>
      <c r="M74" s="33">
        <v>3294</v>
      </c>
      <c r="N74" s="33">
        <v>2939</v>
      </c>
      <c r="O74" s="33">
        <v>2682</v>
      </c>
      <c r="P74" s="33">
        <v>2361</v>
      </c>
      <c r="Q74" s="33">
        <v>2077</v>
      </c>
      <c r="R74" s="33">
        <v>1864</v>
      </c>
      <c r="S74" s="33">
        <v>1632</v>
      </c>
      <c r="T74" s="33">
        <v>1416</v>
      </c>
      <c r="U74" s="33">
        <v>997</v>
      </c>
      <c r="V74" s="33">
        <v>588</v>
      </c>
      <c r="W74" s="33">
        <v>288</v>
      </c>
      <c r="X74" s="33">
        <v>139</v>
      </c>
      <c r="Y74" s="39">
        <v>0</v>
      </c>
    </row>
    <row r="75" spans="1:25" x14ac:dyDescent="0.25">
      <c r="A75" s="31">
        <v>0.5</v>
      </c>
      <c r="B75" s="32">
        <v>7500</v>
      </c>
      <c r="C75" s="33">
        <v>38036</v>
      </c>
      <c r="D75" s="33">
        <v>31979</v>
      </c>
      <c r="E75" s="33">
        <v>25663</v>
      </c>
      <c r="F75" s="40">
        <v>16185</v>
      </c>
      <c r="G75" s="40">
        <v>12686</v>
      </c>
      <c r="H75" s="40">
        <v>10753</v>
      </c>
      <c r="I75" s="40">
        <v>8176</v>
      </c>
      <c r="J75" s="40">
        <v>6845</v>
      </c>
      <c r="K75" s="40">
        <v>5700</v>
      </c>
      <c r="L75" s="33">
        <v>4370</v>
      </c>
      <c r="M75" s="33">
        <v>3351</v>
      </c>
      <c r="N75" s="33">
        <v>2947</v>
      </c>
      <c r="O75" s="33">
        <v>2697</v>
      </c>
      <c r="P75" s="33">
        <v>2398</v>
      </c>
      <c r="Q75" s="33">
        <v>2127</v>
      </c>
      <c r="R75" s="33">
        <v>1918</v>
      </c>
      <c r="S75" s="33">
        <v>1695</v>
      </c>
      <c r="T75" s="33">
        <v>1480</v>
      </c>
      <c r="U75" s="33">
        <v>1060</v>
      </c>
      <c r="V75" s="33">
        <v>631</v>
      </c>
      <c r="W75" s="33">
        <v>315</v>
      </c>
      <c r="X75" s="33">
        <v>153</v>
      </c>
      <c r="Y75" s="39">
        <v>0</v>
      </c>
    </row>
    <row r="76" spans="1:25" x14ac:dyDescent="0.25">
      <c r="A76" s="31">
        <v>0.5</v>
      </c>
      <c r="B76" s="32">
        <v>8000</v>
      </c>
      <c r="C76" s="33">
        <v>39197</v>
      </c>
      <c r="D76" s="33">
        <v>33017</v>
      </c>
      <c r="E76" s="33">
        <v>26712</v>
      </c>
      <c r="F76" s="34">
        <v>17016</v>
      </c>
      <c r="G76" s="34">
        <v>13200</v>
      </c>
      <c r="H76" s="34">
        <v>11107</v>
      </c>
      <c r="I76" s="40">
        <v>8256</v>
      </c>
      <c r="J76" s="40">
        <v>6896</v>
      </c>
      <c r="K76" s="34">
        <v>5794</v>
      </c>
      <c r="L76" s="33">
        <v>4485</v>
      </c>
      <c r="M76" s="33">
        <v>3389</v>
      </c>
      <c r="N76" s="33">
        <v>3069</v>
      </c>
      <c r="O76" s="33">
        <v>2734</v>
      </c>
      <c r="P76" s="33">
        <v>2442</v>
      </c>
      <c r="Q76" s="33">
        <v>2177</v>
      </c>
      <c r="R76" s="33">
        <v>1967</v>
      </c>
      <c r="S76" s="33">
        <v>1751</v>
      </c>
      <c r="T76" s="33">
        <v>1540</v>
      </c>
      <c r="U76" s="33">
        <v>1120</v>
      </c>
      <c r="V76" s="33">
        <v>672</v>
      </c>
      <c r="W76" s="33">
        <v>342</v>
      </c>
      <c r="X76" s="33">
        <v>166</v>
      </c>
      <c r="Y76" s="39">
        <v>0</v>
      </c>
    </row>
    <row r="77" spans="1:25" x14ac:dyDescent="0.25">
      <c r="A77" s="40"/>
      <c r="B77" s="32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32"/>
    </row>
    <row r="78" spans="1:25" x14ac:dyDescent="0.25">
      <c r="A78" s="31">
        <v>1</v>
      </c>
      <c r="B78" s="32">
        <v>0</v>
      </c>
      <c r="C78" s="33">
        <v>7347</v>
      </c>
      <c r="D78" s="33">
        <v>6383</v>
      </c>
      <c r="E78" s="34">
        <v>5570</v>
      </c>
      <c r="F78" s="34">
        <v>4657</v>
      </c>
      <c r="G78" s="34">
        <v>4175</v>
      </c>
      <c r="H78" s="34">
        <v>3535</v>
      </c>
      <c r="I78" s="34">
        <v>2776</v>
      </c>
      <c r="J78" s="34">
        <v>2159</v>
      </c>
      <c r="K78" s="34">
        <v>1820</v>
      </c>
      <c r="L78" s="34">
        <v>1320</v>
      </c>
      <c r="M78" s="34">
        <v>940</v>
      </c>
      <c r="N78" s="34">
        <v>678</v>
      </c>
      <c r="O78" s="34">
        <v>492</v>
      </c>
      <c r="P78" s="34">
        <v>377</v>
      </c>
      <c r="Q78" s="34">
        <v>318</v>
      </c>
      <c r="R78" s="34">
        <v>291</v>
      </c>
      <c r="S78" s="34">
        <v>269</v>
      </c>
      <c r="T78" s="34">
        <v>254</v>
      </c>
      <c r="U78" s="40">
        <v>231</v>
      </c>
      <c r="V78" s="40">
        <v>220</v>
      </c>
      <c r="W78" s="40">
        <v>193</v>
      </c>
      <c r="X78" s="40">
        <v>145</v>
      </c>
      <c r="Y78" s="32">
        <v>0</v>
      </c>
    </row>
    <row r="79" spans="1:25" x14ac:dyDescent="0.25">
      <c r="A79" s="31">
        <v>1</v>
      </c>
      <c r="B79" s="32">
        <v>50</v>
      </c>
      <c r="C79" s="33">
        <v>7700</v>
      </c>
      <c r="D79" s="33">
        <v>6956</v>
      </c>
      <c r="E79" s="34">
        <v>6204</v>
      </c>
      <c r="F79" s="34">
        <v>5406</v>
      </c>
      <c r="G79" s="34">
        <v>4891</v>
      </c>
      <c r="H79" s="34">
        <v>4169</v>
      </c>
      <c r="I79" s="34">
        <v>3412</v>
      </c>
      <c r="J79" s="34">
        <v>2702</v>
      </c>
      <c r="K79" s="34">
        <v>2473</v>
      </c>
      <c r="L79" s="34">
        <v>1966</v>
      </c>
      <c r="M79" s="34">
        <v>1607</v>
      </c>
      <c r="N79" s="34">
        <v>1351</v>
      </c>
      <c r="O79" s="34">
        <v>1179</v>
      </c>
      <c r="P79" s="34">
        <v>1068</v>
      </c>
      <c r="Q79" s="34">
        <v>933</v>
      </c>
      <c r="R79" s="34">
        <v>770</v>
      </c>
      <c r="S79" s="34">
        <v>723</v>
      </c>
      <c r="T79" s="34">
        <v>706</v>
      </c>
      <c r="U79" s="40">
        <v>586</v>
      </c>
      <c r="V79" s="40">
        <v>522</v>
      </c>
      <c r="W79" s="40">
        <v>369</v>
      </c>
      <c r="X79" s="40">
        <v>282</v>
      </c>
      <c r="Y79" s="32">
        <v>0</v>
      </c>
    </row>
    <row r="80" spans="1:25" x14ac:dyDescent="0.25">
      <c r="A80" s="31">
        <v>1</v>
      </c>
      <c r="B80" s="32">
        <v>100</v>
      </c>
      <c r="C80" s="33">
        <v>8581</v>
      </c>
      <c r="D80" s="33">
        <v>7702</v>
      </c>
      <c r="E80" s="34">
        <v>6906</v>
      </c>
      <c r="F80" s="34">
        <v>5824</v>
      </c>
      <c r="G80" s="34">
        <v>5173</v>
      </c>
      <c r="H80" s="34">
        <v>4600</v>
      </c>
      <c r="I80" s="34">
        <v>4000</v>
      </c>
      <c r="J80" s="34">
        <v>3609</v>
      </c>
      <c r="K80" s="34">
        <v>3069</v>
      </c>
      <c r="L80" s="34">
        <v>2549</v>
      </c>
      <c r="M80" s="34">
        <v>2380</v>
      </c>
      <c r="N80" s="34">
        <v>2216</v>
      </c>
      <c r="O80" s="34">
        <v>2087</v>
      </c>
      <c r="P80" s="34">
        <v>1949</v>
      </c>
      <c r="Q80" s="40">
        <v>1798</v>
      </c>
      <c r="R80" s="40">
        <v>1700</v>
      </c>
      <c r="S80" s="40">
        <v>1652</v>
      </c>
      <c r="T80" s="40">
        <v>1541</v>
      </c>
      <c r="U80" s="40">
        <v>1280</v>
      </c>
      <c r="V80" s="40">
        <v>1078</v>
      </c>
      <c r="W80" s="40">
        <v>708</v>
      </c>
      <c r="X80" s="40">
        <v>501</v>
      </c>
      <c r="Y80" s="32">
        <v>0</v>
      </c>
    </row>
    <row r="81" spans="1:25" x14ac:dyDescent="0.25">
      <c r="A81" s="31">
        <v>1</v>
      </c>
      <c r="B81" s="32">
        <v>300</v>
      </c>
      <c r="C81" s="33">
        <v>10093</v>
      </c>
      <c r="D81" s="33">
        <v>8830</v>
      </c>
      <c r="E81" s="34">
        <v>7796</v>
      </c>
      <c r="F81" s="34">
        <v>6476</v>
      </c>
      <c r="G81" s="34">
        <v>5710</v>
      </c>
      <c r="H81" s="34">
        <v>4793</v>
      </c>
      <c r="I81" s="34">
        <v>4140</v>
      </c>
      <c r="J81" s="34">
        <v>4013</v>
      </c>
      <c r="K81" s="34">
        <v>3901</v>
      </c>
      <c r="L81" s="34">
        <v>3685</v>
      </c>
      <c r="M81" s="34">
        <v>3471</v>
      </c>
      <c r="N81" s="34">
        <v>3372</v>
      </c>
      <c r="O81" s="34">
        <v>3276</v>
      </c>
      <c r="P81" s="34">
        <v>3172</v>
      </c>
      <c r="Q81" s="40">
        <v>2993</v>
      </c>
      <c r="R81" s="40">
        <v>2871</v>
      </c>
      <c r="S81" s="40">
        <v>2766</v>
      </c>
      <c r="T81" s="40">
        <v>2594</v>
      </c>
      <c r="U81" s="40">
        <v>1727</v>
      </c>
      <c r="V81" s="40">
        <v>1302</v>
      </c>
      <c r="W81" s="40">
        <v>815</v>
      </c>
      <c r="X81" s="40">
        <v>514</v>
      </c>
      <c r="Y81" s="32">
        <v>0</v>
      </c>
    </row>
    <row r="82" spans="1:25" x14ac:dyDescent="0.25">
      <c r="A82" s="31">
        <v>1</v>
      </c>
      <c r="B82" s="32">
        <v>500</v>
      </c>
      <c r="C82" s="33">
        <v>12148</v>
      </c>
      <c r="D82" s="33">
        <v>10478</v>
      </c>
      <c r="E82" s="34">
        <v>8103</v>
      </c>
      <c r="F82" s="34">
        <v>7200</v>
      </c>
      <c r="G82" s="34">
        <v>6004</v>
      </c>
      <c r="H82" s="34">
        <v>4837</v>
      </c>
      <c r="I82" s="34">
        <v>4259</v>
      </c>
      <c r="J82" s="34">
        <v>4124</v>
      </c>
      <c r="K82" s="34">
        <v>4063</v>
      </c>
      <c r="L82" s="34">
        <v>3995</v>
      </c>
      <c r="M82" s="34">
        <v>3980</v>
      </c>
      <c r="N82" s="34">
        <v>3953</v>
      </c>
      <c r="O82" s="40">
        <v>3938</v>
      </c>
      <c r="P82" s="40">
        <v>3790</v>
      </c>
      <c r="Q82" s="40">
        <v>3678</v>
      </c>
      <c r="R82" s="40">
        <v>3579</v>
      </c>
      <c r="S82" s="40">
        <v>3537</v>
      </c>
      <c r="T82" s="42">
        <v>3445</v>
      </c>
      <c r="U82" s="42">
        <v>1564</v>
      </c>
      <c r="V82" s="42">
        <v>1067</v>
      </c>
      <c r="W82" s="40">
        <v>649</v>
      </c>
      <c r="X82" s="40">
        <v>377</v>
      </c>
      <c r="Y82" s="32">
        <v>0</v>
      </c>
    </row>
    <row r="83" spans="1:25" x14ac:dyDescent="0.25">
      <c r="A83" s="31">
        <v>1</v>
      </c>
      <c r="B83" s="32">
        <v>750</v>
      </c>
      <c r="C83" s="33">
        <v>14675</v>
      </c>
      <c r="D83" s="33">
        <v>12510</v>
      </c>
      <c r="E83" s="34">
        <v>10033</v>
      </c>
      <c r="F83" s="34">
        <v>7775</v>
      </c>
      <c r="G83" s="34">
        <v>6255</v>
      </c>
      <c r="H83" s="34">
        <v>4896</v>
      </c>
      <c r="I83" s="40">
        <v>4378</v>
      </c>
      <c r="J83" s="40">
        <v>4337</v>
      </c>
      <c r="K83" s="40">
        <v>4228</v>
      </c>
      <c r="L83" s="40">
        <v>4200</v>
      </c>
      <c r="M83" s="34">
        <v>4162</v>
      </c>
      <c r="N83" s="34">
        <v>4083</v>
      </c>
      <c r="O83" s="40">
        <v>3997</v>
      </c>
      <c r="P83" s="40">
        <v>3851</v>
      </c>
      <c r="Q83" s="40">
        <v>3810</v>
      </c>
      <c r="R83" s="40">
        <v>3473</v>
      </c>
      <c r="S83" s="40">
        <v>3291</v>
      </c>
      <c r="T83" s="42">
        <v>3102</v>
      </c>
      <c r="U83" s="42">
        <v>832</v>
      </c>
      <c r="V83" s="40">
        <v>623</v>
      </c>
      <c r="W83" s="40">
        <v>322</v>
      </c>
      <c r="X83" s="40">
        <v>213</v>
      </c>
      <c r="Y83" s="32">
        <v>0</v>
      </c>
    </row>
    <row r="84" spans="1:25" x14ac:dyDescent="0.25">
      <c r="A84" s="31">
        <v>1</v>
      </c>
      <c r="B84" s="32">
        <v>1000</v>
      </c>
      <c r="C84" s="33">
        <v>17023</v>
      </c>
      <c r="D84" s="33">
        <v>14042</v>
      </c>
      <c r="E84" s="34">
        <v>11114</v>
      </c>
      <c r="F84" s="34">
        <v>8024</v>
      </c>
      <c r="G84" s="34">
        <v>6275</v>
      </c>
      <c r="H84" s="40">
        <v>4978</v>
      </c>
      <c r="I84" s="40">
        <v>4804</v>
      </c>
      <c r="J84" s="40">
        <v>4736</v>
      </c>
      <c r="K84" s="40">
        <v>4616</v>
      </c>
      <c r="L84" s="40">
        <v>4351</v>
      </c>
      <c r="M84" s="34">
        <v>4177</v>
      </c>
      <c r="N84" s="40">
        <v>4099</v>
      </c>
      <c r="O84" s="40">
        <v>3998</v>
      </c>
      <c r="P84" s="40">
        <v>3896</v>
      </c>
      <c r="Q84" s="40">
        <v>3708</v>
      </c>
      <c r="R84" s="40">
        <v>3148</v>
      </c>
      <c r="S84" s="42">
        <v>2620</v>
      </c>
      <c r="T84" s="42">
        <v>1199</v>
      </c>
      <c r="U84" s="40">
        <v>636</v>
      </c>
      <c r="V84" s="40">
        <v>391</v>
      </c>
      <c r="W84" s="40">
        <v>189</v>
      </c>
      <c r="X84" s="40">
        <v>128</v>
      </c>
      <c r="Y84" s="32">
        <v>0</v>
      </c>
    </row>
    <row r="85" spans="1:25" x14ac:dyDescent="0.25">
      <c r="A85" s="31">
        <v>1</v>
      </c>
      <c r="B85" s="32">
        <v>1500</v>
      </c>
      <c r="C85" s="33">
        <v>20026</v>
      </c>
      <c r="D85" s="33">
        <v>16859</v>
      </c>
      <c r="E85" s="34">
        <v>13366</v>
      </c>
      <c r="F85" s="34">
        <v>9481</v>
      </c>
      <c r="G85" s="40">
        <v>7659</v>
      </c>
      <c r="H85" s="40">
        <v>6918</v>
      </c>
      <c r="I85" s="40">
        <v>6497</v>
      </c>
      <c r="J85" s="40">
        <v>5831</v>
      </c>
      <c r="K85" s="40">
        <v>5246</v>
      </c>
      <c r="L85" s="40">
        <v>4610</v>
      </c>
      <c r="M85" s="40">
        <v>4271</v>
      </c>
      <c r="N85" s="40">
        <v>4057</v>
      </c>
      <c r="O85" s="40">
        <v>3704</v>
      </c>
      <c r="P85" s="40">
        <v>3655</v>
      </c>
      <c r="Q85" s="42">
        <v>3049</v>
      </c>
      <c r="R85" s="42">
        <v>1601</v>
      </c>
      <c r="S85" s="40">
        <v>1238</v>
      </c>
      <c r="T85" s="40">
        <v>843</v>
      </c>
      <c r="U85" s="40">
        <v>315</v>
      </c>
      <c r="V85" s="40">
        <v>218</v>
      </c>
      <c r="W85" s="40">
        <v>138</v>
      </c>
      <c r="X85" s="40">
        <v>75</v>
      </c>
      <c r="Y85" s="32">
        <v>0</v>
      </c>
    </row>
    <row r="86" spans="1:25" x14ac:dyDescent="0.25">
      <c r="A86" s="31">
        <v>1</v>
      </c>
      <c r="B86" s="32">
        <v>2000</v>
      </c>
      <c r="C86" s="33">
        <v>22495</v>
      </c>
      <c r="D86" s="33">
        <v>18764</v>
      </c>
      <c r="E86" s="34">
        <v>14921</v>
      </c>
      <c r="F86" s="34">
        <v>10539</v>
      </c>
      <c r="G86" s="40">
        <v>9084</v>
      </c>
      <c r="H86" s="40">
        <v>7740</v>
      </c>
      <c r="I86" s="40">
        <v>6830</v>
      </c>
      <c r="J86" s="40">
        <v>6373</v>
      </c>
      <c r="K86" s="40">
        <v>5489</v>
      </c>
      <c r="L86" s="40">
        <v>4704</v>
      </c>
      <c r="M86" s="40">
        <v>4407</v>
      </c>
      <c r="N86" s="40">
        <v>3992</v>
      </c>
      <c r="O86" s="40">
        <v>3596</v>
      </c>
      <c r="P86" s="40">
        <v>3330</v>
      </c>
      <c r="Q86" s="42">
        <v>1957</v>
      </c>
      <c r="R86" s="42">
        <v>1122</v>
      </c>
      <c r="S86" s="40">
        <v>873</v>
      </c>
      <c r="T86" s="40">
        <v>624</v>
      </c>
      <c r="U86" s="40">
        <v>268</v>
      </c>
      <c r="V86" s="34">
        <v>155</v>
      </c>
      <c r="W86" s="34">
        <v>90</v>
      </c>
      <c r="X86" s="34">
        <v>46</v>
      </c>
      <c r="Y86" s="41">
        <v>0</v>
      </c>
    </row>
    <row r="87" spans="1:25" x14ac:dyDescent="0.25">
      <c r="A87" s="31">
        <v>1</v>
      </c>
      <c r="B87" s="32">
        <v>2500</v>
      </c>
      <c r="C87" s="33">
        <v>24717</v>
      </c>
      <c r="D87" s="33">
        <v>20601</v>
      </c>
      <c r="E87" s="34">
        <v>16332</v>
      </c>
      <c r="F87" s="40">
        <v>11001</v>
      </c>
      <c r="G87" s="40">
        <v>9794</v>
      </c>
      <c r="H87" s="40">
        <v>8318</v>
      </c>
      <c r="I87" s="40">
        <v>7090</v>
      </c>
      <c r="J87" s="40">
        <v>6583</v>
      </c>
      <c r="K87" s="34">
        <v>5633</v>
      </c>
      <c r="L87" s="40">
        <v>4794</v>
      </c>
      <c r="M87" s="40">
        <v>4338</v>
      </c>
      <c r="N87" s="40">
        <v>3811</v>
      </c>
      <c r="O87" s="40">
        <v>3566</v>
      </c>
      <c r="P87" s="42">
        <v>2927</v>
      </c>
      <c r="Q87" s="42">
        <v>1197</v>
      </c>
      <c r="R87" s="40">
        <v>1012</v>
      </c>
      <c r="S87" s="40">
        <v>823</v>
      </c>
      <c r="T87" s="34">
        <v>521</v>
      </c>
      <c r="U87" s="34">
        <v>300</v>
      </c>
      <c r="V87" s="34">
        <v>149</v>
      </c>
      <c r="W87" s="34">
        <v>49</v>
      </c>
      <c r="X87" s="34">
        <v>26</v>
      </c>
      <c r="Y87" s="39">
        <v>0</v>
      </c>
    </row>
    <row r="88" spans="1:25" x14ac:dyDescent="0.25">
      <c r="A88" s="31">
        <v>1</v>
      </c>
      <c r="B88" s="32">
        <v>3000</v>
      </c>
      <c r="C88" s="33">
        <v>26264</v>
      </c>
      <c r="D88" s="33">
        <v>22053</v>
      </c>
      <c r="E88" s="34">
        <v>17370</v>
      </c>
      <c r="F88" s="40">
        <v>11532</v>
      </c>
      <c r="G88" s="40">
        <v>10209</v>
      </c>
      <c r="H88" s="40">
        <v>8496</v>
      </c>
      <c r="I88" s="34">
        <v>7195</v>
      </c>
      <c r="J88" s="34">
        <v>6673</v>
      </c>
      <c r="K88" s="34">
        <v>5671</v>
      </c>
      <c r="L88" s="40">
        <v>4871</v>
      </c>
      <c r="M88" s="40">
        <v>4244</v>
      </c>
      <c r="N88" s="40">
        <v>3718</v>
      </c>
      <c r="O88" s="42">
        <v>3325</v>
      </c>
      <c r="P88" s="42">
        <v>2007</v>
      </c>
      <c r="Q88" s="40">
        <v>977</v>
      </c>
      <c r="R88" s="40">
        <v>895</v>
      </c>
      <c r="S88" s="34">
        <v>701</v>
      </c>
      <c r="T88" s="34">
        <v>583</v>
      </c>
      <c r="U88" s="34">
        <v>313</v>
      </c>
      <c r="V88" s="34">
        <v>168</v>
      </c>
      <c r="W88" s="34">
        <v>59</v>
      </c>
      <c r="X88" s="33">
        <v>24</v>
      </c>
      <c r="Y88" s="39">
        <v>0</v>
      </c>
    </row>
    <row r="89" spans="1:25" x14ac:dyDescent="0.25">
      <c r="A89" s="31">
        <v>1</v>
      </c>
      <c r="B89" s="32">
        <v>3500</v>
      </c>
      <c r="C89" s="33">
        <v>27894</v>
      </c>
      <c r="D89" s="33">
        <v>23473</v>
      </c>
      <c r="E89" s="34">
        <v>18245</v>
      </c>
      <c r="F89" s="40">
        <v>11516</v>
      </c>
      <c r="G89" s="40">
        <v>10075</v>
      </c>
      <c r="H89" s="40">
        <v>8480</v>
      </c>
      <c r="I89" s="40">
        <v>7278</v>
      </c>
      <c r="J89" s="40">
        <v>6704</v>
      </c>
      <c r="K89" s="34">
        <v>5714</v>
      </c>
      <c r="L89" s="40">
        <v>4887</v>
      </c>
      <c r="M89" s="40">
        <v>4229</v>
      </c>
      <c r="N89" s="34">
        <v>3597</v>
      </c>
      <c r="O89" s="40">
        <v>3109</v>
      </c>
      <c r="P89" s="40">
        <v>1924</v>
      </c>
      <c r="Q89" s="40">
        <v>1223</v>
      </c>
      <c r="R89" s="34">
        <v>919</v>
      </c>
      <c r="S89" s="34">
        <v>831</v>
      </c>
      <c r="T89" s="34">
        <v>690</v>
      </c>
      <c r="U89" s="34">
        <v>431</v>
      </c>
      <c r="V89" s="33">
        <v>247</v>
      </c>
      <c r="W89" s="33">
        <v>80</v>
      </c>
      <c r="X89" s="33">
        <v>33</v>
      </c>
      <c r="Y89" s="39">
        <v>0</v>
      </c>
    </row>
    <row r="90" spans="1:25" x14ac:dyDescent="0.25">
      <c r="A90" s="31">
        <v>1</v>
      </c>
      <c r="B90" s="32">
        <v>4000</v>
      </c>
      <c r="C90" s="33">
        <v>29406</v>
      </c>
      <c r="D90" s="33">
        <v>24586</v>
      </c>
      <c r="E90" s="34">
        <v>18990</v>
      </c>
      <c r="F90" s="40">
        <v>11029</v>
      </c>
      <c r="G90" s="40">
        <v>9419</v>
      </c>
      <c r="H90" s="40">
        <v>8550</v>
      </c>
      <c r="I90" s="40">
        <v>7359</v>
      </c>
      <c r="J90" s="40">
        <v>6714</v>
      </c>
      <c r="K90" s="40">
        <v>5752</v>
      </c>
      <c r="L90" s="40">
        <v>4750</v>
      </c>
      <c r="M90" s="40">
        <v>4075</v>
      </c>
      <c r="N90" s="34">
        <v>3520</v>
      </c>
      <c r="O90" s="34">
        <v>3031</v>
      </c>
      <c r="P90" s="34">
        <v>2210</v>
      </c>
      <c r="Q90" s="34">
        <v>1620</v>
      </c>
      <c r="R90" s="34">
        <v>1230</v>
      </c>
      <c r="S90" s="34">
        <v>1090</v>
      </c>
      <c r="T90" s="34">
        <v>890</v>
      </c>
      <c r="U90" s="33">
        <v>545</v>
      </c>
      <c r="V90" s="33">
        <v>300</v>
      </c>
      <c r="W90" s="33">
        <v>101</v>
      </c>
      <c r="X90" s="33">
        <v>40</v>
      </c>
      <c r="Y90" s="39">
        <v>0</v>
      </c>
    </row>
    <row r="91" spans="1:25" x14ac:dyDescent="0.25">
      <c r="A91" s="31">
        <v>1</v>
      </c>
      <c r="B91" s="32">
        <v>4500</v>
      </c>
      <c r="C91" s="33">
        <v>30773</v>
      </c>
      <c r="D91" s="33">
        <v>25743</v>
      </c>
      <c r="E91" s="34">
        <v>19791</v>
      </c>
      <c r="F91" s="40">
        <v>11226</v>
      </c>
      <c r="G91" s="40">
        <v>9952</v>
      </c>
      <c r="H91" s="40">
        <v>9143</v>
      </c>
      <c r="I91" s="40">
        <v>7572</v>
      </c>
      <c r="J91" s="40">
        <v>6924</v>
      </c>
      <c r="K91" s="40">
        <v>5778</v>
      </c>
      <c r="L91" s="34">
        <v>4571</v>
      </c>
      <c r="M91" s="34">
        <v>3881</v>
      </c>
      <c r="N91" s="34">
        <v>3430</v>
      </c>
      <c r="O91" s="34">
        <v>2986</v>
      </c>
      <c r="P91" s="34">
        <v>2349</v>
      </c>
      <c r="Q91" s="34">
        <v>1805</v>
      </c>
      <c r="R91" s="34">
        <v>1456</v>
      </c>
      <c r="S91" s="34">
        <v>1249</v>
      </c>
      <c r="T91" s="33">
        <v>1030</v>
      </c>
      <c r="U91" s="33">
        <v>629</v>
      </c>
      <c r="V91" s="33">
        <v>331</v>
      </c>
      <c r="W91" s="33">
        <v>122</v>
      </c>
      <c r="X91" s="33">
        <v>51</v>
      </c>
      <c r="Y91" s="39">
        <v>0</v>
      </c>
    </row>
    <row r="92" spans="1:25" x14ac:dyDescent="0.25">
      <c r="A92" s="31">
        <v>1</v>
      </c>
      <c r="B92" s="32">
        <v>5000</v>
      </c>
      <c r="C92" s="33">
        <v>31994</v>
      </c>
      <c r="D92" s="33">
        <v>26863</v>
      </c>
      <c r="E92" s="34">
        <v>20592</v>
      </c>
      <c r="F92" s="40">
        <v>12193</v>
      </c>
      <c r="G92" s="40">
        <v>10358</v>
      </c>
      <c r="H92" s="40">
        <v>9185</v>
      </c>
      <c r="I92" s="40">
        <v>7623</v>
      </c>
      <c r="J92" s="40">
        <v>6934</v>
      </c>
      <c r="K92" s="40">
        <v>5919</v>
      </c>
      <c r="L92" s="34">
        <v>4492</v>
      </c>
      <c r="M92" s="34">
        <v>3722</v>
      </c>
      <c r="N92" s="34">
        <v>3317</v>
      </c>
      <c r="O92" s="34">
        <v>2924</v>
      </c>
      <c r="P92" s="34">
        <v>2357</v>
      </c>
      <c r="Q92" s="34">
        <v>1874</v>
      </c>
      <c r="R92" s="34">
        <v>1562</v>
      </c>
      <c r="S92" s="33">
        <v>1337</v>
      </c>
      <c r="T92" s="33">
        <v>1109</v>
      </c>
      <c r="U92" s="33">
        <v>703</v>
      </c>
      <c r="V92" s="33">
        <v>372</v>
      </c>
      <c r="W92" s="33">
        <v>146</v>
      </c>
      <c r="X92" s="33">
        <v>64</v>
      </c>
      <c r="Y92" s="39">
        <v>0</v>
      </c>
    </row>
    <row r="93" spans="1:25" x14ac:dyDescent="0.25">
      <c r="A93" s="31">
        <v>1</v>
      </c>
      <c r="B93" s="32">
        <v>5500</v>
      </c>
      <c r="C93" s="33">
        <v>33271</v>
      </c>
      <c r="D93" s="33">
        <v>27872</v>
      </c>
      <c r="E93" s="34">
        <v>21588</v>
      </c>
      <c r="F93" s="40">
        <v>13122</v>
      </c>
      <c r="G93" s="40">
        <v>10898</v>
      </c>
      <c r="H93" s="40">
        <v>9280</v>
      </c>
      <c r="I93" s="40">
        <v>7551</v>
      </c>
      <c r="J93" s="40">
        <v>6744</v>
      </c>
      <c r="K93" s="40">
        <v>6006</v>
      </c>
      <c r="L93" s="34">
        <v>4590</v>
      </c>
      <c r="M93" s="34">
        <v>3694</v>
      </c>
      <c r="N93" s="34">
        <v>3272</v>
      </c>
      <c r="O93" s="34">
        <v>2887</v>
      </c>
      <c r="P93" s="34">
        <v>2358</v>
      </c>
      <c r="Q93" s="34">
        <v>1938</v>
      </c>
      <c r="R93" s="33">
        <v>1664</v>
      </c>
      <c r="S93" s="33">
        <v>1428</v>
      </c>
      <c r="T93" s="33">
        <v>1200</v>
      </c>
      <c r="U93" s="33">
        <v>781</v>
      </c>
      <c r="V93" s="33">
        <v>427</v>
      </c>
      <c r="W93" s="33">
        <v>173</v>
      </c>
      <c r="X93" s="33">
        <v>78</v>
      </c>
      <c r="Y93" s="39">
        <v>0</v>
      </c>
    </row>
    <row r="94" spans="1:25" x14ac:dyDescent="0.25">
      <c r="A94" s="31">
        <v>1</v>
      </c>
      <c r="B94" s="32">
        <v>6000</v>
      </c>
      <c r="C94" s="33">
        <v>34314</v>
      </c>
      <c r="D94" s="33">
        <v>28814</v>
      </c>
      <c r="E94" s="34">
        <v>22490</v>
      </c>
      <c r="F94" s="34">
        <v>14247</v>
      </c>
      <c r="G94" s="34">
        <v>11388</v>
      </c>
      <c r="H94" s="34">
        <v>9491</v>
      </c>
      <c r="I94" s="40">
        <v>7633</v>
      </c>
      <c r="J94" s="40">
        <v>6655</v>
      </c>
      <c r="K94" s="40">
        <v>6024</v>
      </c>
      <c r="L94" s="34">
        <v>4616</v>
      </c>
      <c r="M94" s="34">
        <v>3548</v>
      </c>
      <c r="N94" s="34">
        <v>3236</v>
      </c>
      <c r="O94" s="34">
        <v>2856</v>
      </c>
      <c r="P94" s="34">
        <v>2372</v>
      </c>
      <c r="Q94" s="33">
        <v>2006</v>
      </c>
      <c r="R94" s="33">
        <v>1746</v>
      </c>
      <c r="S94" s="33">
        <v>1506</v>
      </c>
      <c r="T94" s="33">
        <v>1280</v>
      </c>
      <c r="U94" s="33">
        <v>856</v>
      </c>
      <c r="V94" s="33">
        <v>477</v>
      </c>
      <c r="W94" s="33">
        <v>204</v>
      </c>
      <c r="X94" s="33">
        <v>95</v>
      </c>
      <c r="Y94" s="39">
        <v>0</v>
      </c>
    </row>
    <row r="95" spans="1:25" x14ac:dyDescent="0.25">
      <c r="A95" s="31">
        <v>1</v>
      </c>
      <c r="B95" s="32">
        <v>6500</v>
      </c>
      <c r="C95" s="33">
        <v>35402</v>
      </c>
      <c r="D95" s="33">
        <v>29678</v>
      </c>
      <c r="E95" s="34">
        <v>23127</v>
      </c>
      <c r="F95" s="40">
        <v>14949</v>
      </c>
      <c r="G95" s="40">
        <v>11882</v>
      </c>
      <c r="H95" s="40">
        <v>9883</v>
      </c>
      <c r="I95" s="40">
        <v>7866</v>
      </c>
      <c r="J95" s="40">
        <v>6765</v>
      </c>
      <c r="K95" s="40">
        <v>6151</v>
      </c>
      <c r="L95" s="34">
        <v>4649</v>
      </c>
      <c r="M95" s="34">
        <v>3592</v>
      </c>
      <c r="N95" s="34">
        <v>3194</v>
      </c>
      <c r="O95" s="34">
        <v>2864</v>
      </c>
      <c r="P95" s="34">
        <v>2403</v>
      </c>
      <c r="Q95" s="33">
        <v>2060</v>
      </c>
      <c r="R95" s="33">
        <v>1829</v>
      </c>
      <c r="S95" s="33">
        <v>1587</v>
      </c>
      <c r="T95" s="33">
        <v>1362</v>
      </c>
      <c r="U95" s="33">
        <v>935</v>
      </c>
      <c r="V95" s="33">
        <v>530</v>
      </c>
      <c r="W95" s="33">
        <v>236</v>
      </c>
      <c r="X95" s="33">
        <v>112</v>
      </c>
      <c r="Y95" s="39">
        <v>0</v>
      </c>
    </row>
    <row r="96" spans="1:25" x14ac:dyDescent="0.25">
      <c r="A96" s="31">
        <v>1</v>
      </c>
      <c r="B96" s="32">
        <v>7000</v>
      </c>
      <c r="C96" s="33">
        <v>36417</v>
      </c>
      <c r="D96" s="33">
        <v>30478</v>
      </c>
      <c r="E96" s="34">
        <v>23637</v>
      </c>
      <c r="F96" s="40">
        <v>15247</v>
      </c>
      <c r="G96" s="40">
        <v>12338</v>
      </c>
      <c r="H96" s="40">
        <v>10051</v>
      </c>
      <c r="I96" s="40">
        <v>8088</v>
      </c>
      <c r="J96" s="40">
        <v>6875</v>
      </c>
      <c r="K96" s="40">
        <v>6185</v>
      </c>
      <c r="L96" s="34">
        <v>4676</v>
      </c>
      <c r="M96" s="34">
        <v>3617</v>
      </c>
      <c r="N96" s="34">
        <v>3231</v>
      </c>
      <c r="O96" s="34">
        <v>2818</v>
      </c>
      <c r="P96" s="33">
        <v>2445</v>
      </c>
      <c r="Q96" s="33">
        <v>2122</v>
      </c>
      <c r="R96" s="33">
        <v>1909</v>
      </c>
      <c r="S96" s="33">
        <v>1670</v>
      </c>
      <c r="T96" s="33">
        <v>1445</v>
      </c>
      <c r="U96" s="33">
        <v>1008</v>
      </c>
      <c r="V96" s="33">
        <v>583</v>
      </c>
      <c r="W96" s="33">
        <v>269</v>
      </c>
      <c r="X96" s="33">
        <v>129</v>
      </c>
      <c r="Y96" s="39">
        <v>0</v>
      </c>
    </row>
    <row r="97" spans="1:25" x14ac:dyDescent="0.25">
      <c r="A97" s="31">
        <v>1</v>
      </c>
      <c r="B97" s="32">
        <v>7500</v>
      </c>
      <c r="C97" s="33">
        <v>37289</v>
      </c>
      <c r="D97" s="33">
        <v>31065</v>
      </c>
      <c r="E97" s="34">
        <v>24195</v>
      </c>
      <c r="F97" s="40">
        <v>16170</v>
      </c>
      <c r="G97" s="40">
        <v>12803</v>
      </c>
      <c r="H97" s="40">
        <v>10604</v>
      </c>
      <c r="I97" s="40">
        <v>8228</v>
      </c>
      <c r="J97" s="40">
        <v>6965</v>
      </c>
      <c r="K97" s="40">
        <v>6238</v>
      </c>
      <c r="L97" s="34">
        <v>4694</v>
      </c>
      <c r="M97" s="34">
        <v>3628</v>
      </c>
      <c r="N97" s="34">
        <v>3251</v>
      </c>
      <c r="O97" s="33">
        <v>2897</v>
      </c>
      <c r="P97" s="33">
        <v>2480</v>
      </c>
      <c r="Q97" s="33">
        <v>2219</v>
      </c>
      <c r="R97" s="33">
        <v>1968</v>
      </c>
      <c r="S97" s="33">
        <v>1736</v>
      </c>
      <c r="T97" s="33">
        <v>1512</v>
      </c>
      <c r="U97" s="33">
        <v>1074</v>
      </c>
      <c r="V97" s="33">
        <v>630</v>
      </c>
      <c r="W97" s="33">
        <v>291</v>
      </c>
      <c r="X97" s="33">
        <v>140</v>
      </c>
      <c r="Y97" s="39">
        <v>0</v>
      </c>
    </row>
    <row r="98" spans="1:25" x14ac:dyDescent="0.25">
      <c r="A98" s="31">
        <v>1</v>
      </c>
      <c r="B98" s="32">
        <v>8000</v>
      </c>
      <c r="C98" s="33">
        <v>38003</v>
      </c>
      <c r="D98" s="33">
        <v>31712</v>
      </c>
      <c r="E98" s="34">
        <v>25017</v>
      </c>
      <c r="F98" s="34">
        <v>17157</v>
      </c>
      <c r="G98" s="34">
        <v>13534</v>
      </c>
      <c r="H98" s="34">
        <v>11049</v>
      </c>
      <c r="I98" s="34">
        <v>8426</v>
      </c>
      <c r="J98" s="34">
        <v>6995</v>
      </c>
      <c r="K98" s="34">
        <v>6294</v>
      </c>
      <c r="L98" s="34">
        <v>4822</v>
      </c>
      <c r="M98" s="34">
        <v>3674</v>
      </c>
      <c r="N98" s="34">
        <v>3301</v>
      </c>
      <c r="O98" s="33">
        <v>2917</v>
      </c>
      <c r="P98" s="33">
        <v>2547</v>
      </c>
      <c r="Q98" s="33">
        <v>2272</v>
      </c>
      <c r="R98" s="33">
        <v>2021</v>
      </c>
      <c r="S98" s="33">
        <v>1794</v>
      </c>
      <c r="T98" s="33">
        <v>1573</v>
      </c>
      <c r="U98" s="33">
        <v>1136</v>
      </c>
      <c r="V98" s="33">
        <v>668</v>
      </c>
      <c r="W98" s="33">
        <v>312</v>
      </c>
      <c r="X98" s="33">
        <v>150</v>
      </c>
      <c r="Y98" s="39">
        <v>0</v>
      </c>
    </row>
    <row r="99" spans="1:25" x14ac:dyDescent="0.25">
      <c r="A99" s="40"/>
      <c r="B99" s="32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32"/>
    </row>
    <row r="100" spans="1:25" x14ac:dyDescent="0.25">
      <c r="A100" s="31">
        <v>2</v>
      </c>
      <c r="B100" s="32">
        <v>0</v>
      </c>
      <c r="C100" s="33">
        <v>7060</v>
      </c>
      <c r="D100" s="34">
        <v>6243</v>
      </c>
      <c r="E100" s="34">
        <v>5413</v>
      </c>
      <c r="F100" s="34">
        <v>4622</v>
      </c>
      <c r="G100" s="34">
        <v>4189</v>
      </c>
      <c r="H100" s="34">
        <v>3713</v>
      </c>
      <c r="I100" s="34">
        <v>3173</v>
      </c>
      <c r="J100" s="34">
        <v>2594</v>
      </c>
      <c r="K100" s="34">
        <v>2165</v>
      </c>
      <c r="L100" s="34">
        <v>1704</v>
      </c>
      <c r="M100" s="34">
        <v>1302</v>
      </c>
      <c r="N100" s="34">
        <v>970</v>
      </c>
      <c r="O100" s="34">
        <v>745</v>
      </c>
      <c r="P100" s="34">
        <v>587</v>
      </c>
      <c r="Q100" s="34">
        <v>491</v>
      </c>
      <c r="R100" s="34">
        <v>438</v>
      </c>
      <c r="S100" s="34">
        <v>380</v>
      </c>
      <c r="T100" s="34">
        <v>361</v>
      </c>
      <c r="U100" s="34">
        <v>323</v>
      </c>
      <c r="V100" s="40">
        <v>317</v>
      </c>
      <c r="W100" s="40">
        <v>232</v>
      </c>
      <c r="X100" s="40">
        <v>170</v>
      </c>
      <c r="Y100" s="32">
        <v>0</v>
      </c>
    </row>
    <row r="101" spans="1:25" x14ac:dyDescent="0.25">
      <c r="A101" s="31">
        <v>2</v>
      </c>
      <c r="B101" s="32">
        <v>50</v>
      </c>
      <c r="C101" s="33">
        <v>7497</v>
      </c>
      <c r="D101" s="34">
        <v>6756</v>
      </c>
      <c r="E101" s="34">
        <v>6040</v>
      </c>
      <c r="F101" s="34">
        <v>5351</v>
      </c>
      <c r="G101" s="34">
        <v>4927</v>
      </c>
      <c r="H101" s="34">
        <v>4460</v>
      </c>
      <c r="I101" s="34">
        <v>3982</v>
      </c>
      <c r="J101" s="34">
        <v>3450</v>
      </c>
      <c r="K101" s="34">
        <v>3005</v>
      </c>
      <c r="L101" s="34">
        <v>2552</v>
      </c>
      <c r="M101" s="34">
        <v>2160</v>
      </c>
      <c r="N101" s="34">
        <v>1834</v>
      </c>
      <c r="O101" s="34">
        <v>1613</v>
      </c>
      <c r="P101" s="34">
        <v>1447</v>
      </c>
      <c r="Q101" s="34">
        <v>1331</v>
      </c>
      <c r="R101" s="34">
        <v>1209</v>
      </c>
      <c r="S101" s="34">
        <v>1089</v>
      </c>
      <c r="T101" s="34">
        <v>1069</v>
      </c>
      <c r="U101" s="34">
        <v>924</v>
      </c>
      <c r="V101" s="40">
        <v>845</v>
      </c>
      <c r="W101" s="40">
        <v>658</v>
      </c>
      <c r="X101" s="40">
        <v>373</v>
      </c>
      <c r="Y101" s="32">
        <v>0</v>
      </c>
    </row>
    <row r="102" spans="1:25" x14ac:dyDescent="0.25">
      <c r="A102" s="31">
        <v>2</v>
      </c>
      <c r="B102" s="32">
        <v>100</v>
      </c>
      <c r="C102" s="33">
        <v>8767</v>
      </c>
      <c r="D102" s="34">
        <v>7820</v>
      </c>
      <c r="E102" s="34">
        <v>7040</v>
      </c>
      <c r="F102" s="34">
        <v>6207</v>
      </c>
      <c r="G102" s="34">
        <v>5946</v>
      </c>
      <c r="H102" s="34">
        <v>5556</v>
      </c>
      <c r="I102" s="34">
        <v>5241</v>
      </c>
      <c r="J102" s="34">
        <v>4757</v>
      </c>
      <c r="K102" s="34">
        <v>4071</v>
      </c>
      <c r="L102" s="34">
        <v>3657</v>
      </c>
      <c r="M102" s="34">
        <v>3326</v>
      </c>
      <c r="N102" s="34">
        <v>3072</v>
      </c>
      <c r="O102" s="34">
        <v>2933</v>
      </c>
      <c r="P102" s="34">
        <v>2801</v>
      </c>
      <c r="Q102" s="34">
        <v>2599</v>
      </c>
      <c r="R102" s="34">
        <v>2487</v>
      </c>
      <c r="S102" s="34">
        <v>2393</v>
      </c>
      <c r="T102" s="34">
        <v>2313</v>
      </c>
      <c r="U102" s="40">
        <v>1996</v>
      </c>
      <c r="V102" s="40">
        <v>1720</v>
      </c>
      <c r="W102" s="40">
        <v>1123</v>
      </c>
      <c r="X102" s="40">
        <v>594</v>
      </c>
      <c r="Y102" s="32">
        <v>0</v>
      </c>
    </row>
    <row r="103" spans="1:25" x14ac:dyDescent="0.25">
      <c r="A103" s="31">
        <v>2</v>
      </c>
      <c r="B103" s="32">
        <v>300</v>
      </c>
      <c r="C103" s="33">
        <v>9784</v>
      </c>
      <c r="D103" s="34">
        <v>8590</v>
      </c>
      <c r="E103" s="34">
        <v>7775</v>
      </c>
      <c r="F103" s="34">
        <v>7108</v>
      </c>
      <c r="G103" s="34">
        <v>6722</v>
      </c>
      <c r="H103" s="34">
        <v>6403</v>
      </c>
      <c r="I103" s="34">
        <v>6064</v>
      </c>
      <c r="J103" s="34">
        <v>5659</v>
      </c>
      <c r="K103" s="34">
        <v>5220</v>
      </c>
      <c r="L103" s="34">
        <v>4908</v>
      </c>
      <c r="M103" s="34">
        <v>4646</v>
      </c>
      <c r="N103" s="34">
        <v>4362</v>
      </c>
      <c r="O103" s="34">
        <v>4026</v>
      </c>
      <c r="P103" s="34">
        <v>3725</v>
      </c>
      <c r="Q103" s="34">
        <v>3563</v>
      </c>
      <c r="R103" s="34">
        <v>3475</v>
      </c>
      <c r="S103" s="34">
        <v>3375</v>
      </c>
      <c r="T103" s="40">
        <v>3276</v>
      </c>
      <c r="U103" s="40">
        <v>2998</v>
      </c>
      <c r="V103" s="40">
        <v>2266</v>
      </c>
      <c r="W103" s="40">
        <v>1252</v>
      </c>
      <c r="X103" s="40">
        <v>690</v>
      </c>
      <c r="Y103" s="32">
        <v>0</v>
      </c>
    </row>
    <row r="104" spans="1:25" x14ac:dyDescent="0.25">
      <c r="A104" s="31">
        <v>2</v>
      </c>
      <c r="B104" s="32">
        <v>500</v>
      </c>
      <c r="C104" s="33">
        <v>11464</v>
      </c>
      <c r="D104" s="34">
        <v>9687</v>
      </c>
      <c r="E104" s="34">
        <v>8430</v>
      </c>
      <c r="F104" s="34">
        <v>7528</v>
      </c>
      <c r="G104" s="34">
        <v>6977</v>
      </c>
      <c r="H104" s="34">
        <v>6611</v>
      </c>
      <c r="I104" s="34">
        <v>6260</v>
      </c>
      <c r="J104" s="34">
        <v>6084</v>
      </c>
      <c r="K104" s="34">
        <v>5540</v>
      </c>
      <c r="L104" s="34">
        <v>5280</v>
      </c>
      <c r="M104" s="34">
        <v>4924</v>
      </c>
      <c r="N104" s="34">
        <v>4584</v>
      </c>
      <c r="O104" s="34">
        <v>4373</v>
      </c>
      <c r="P104" s="34">
        <v>4197</v>
      </c>
      <c r="Q104" s="34">
        <v>4076</v>
      </c>
      <c r="R104" s="34">
        <v>3929</v>
      </c>
      <c r="S104" s="40">
        <v>3828</v>
      </c>
      <c r="T104" s="40">
        <v>3695</v>
      </c>
      <c r="U104" s="42">
        <v>3362</v>
      </c>
      <c r="V104" s="42">
        <v>1898</v>
      </c>
      <c r="W104" s="42">
        <v>1109</v>
      </c>
      <c r="X104" s="40">
        <v>609</v>
      </c>
      <c r="Y104" s="32">
        <v>0</v>
      </c>
    </row>
    <row r="105" spans="1:25" x14ac:dyDescent="0.25">
      <c r="A105" s="31">
        <v>2</v>
      </c>
      <c r="B105" s="32">
        <v>750</v>
      </c>
      <c r="C105" s="33">
        <v>13730</v>
      </c>
      <c r="D105" s="34">
        <v>11557</v>
      </c>
      <c r="E105" s="34">
        <v>9579</v>
      </c>
      <c r="F105" s="34">
        <v>7868</v>
      </c>
      <c r="G105" s="34">
        <v>7076</v>
      </c>
      <c r="H105" s="40">
        <v>6656</v>
      </c>
      <c r="I105" s="40">
        <v>6388</v>
      </c>
      <c r="J105" s="40">
        <v>6097</v>
      </c>
      <c r="K105" s="40">
        <v>5696</v>
      </c>
      <c r="L105" s="40">
        <v>5338</v>
      </c>
      <c r="M105" s="34">
        <v>5083</v>
      </c>
      <c r="N105" s="34">
        <v>4870</v>
      </c>
      <c r="O105" s="34">
        <v>4700</v>
      </c>
      <c r="P105" s="40">
        <v>4590</v>
      </c>
      <c r="Q105" s="40">
        <v>4478</v>
      </c>
      <c r="R105" s="40">
        <v>4396</v>
      </c>
      <c r="S105" s="40">
        <v>4033</v>
      </c>
      <c r="T105" s="42">
        <v>3811</v>
      </c>
      <c r="U105" s="42">
        <v>1948</v>
      </c>
      <c r="V105" s="42">
        <v>1194</v>
      </c>
      <c r="W105" s="40">
        <v>700</v>
      </c>
      <c r="X105" s="40">
        <v>229</v>
      </c>
      <c r="Y105" s="32">
        <v>0</v>
      </c>
    </row>
    <row r="106" spans="1:25" x14ac:dyDescent="0.25">
      <c r="A106" s="31">
        <v>2</v>
      </c>
      <c r="B106" s="32">
        <v>1000</v>
      </c>
      <c r="C106" s="33">
        <v>16027</v>
      </c>
      <c r="D106" s="34">
        <v>13171</v>
      </c>
      <c r="E106" s="34">
        <v>10583</v>
      </c>
      <c r="F106" s="34">
        <v>7982</v>
      </c>
      <c r="G106" s="40">
        <v>7118</v>
      </c>
      <c r="H106" s="40">
        <v>6692</v>
      </c>
      <c r="I106" s="40">
        <v>6371</v>
      </c>
      <c r="J106" s="40">
        <v>6185</v>
      </c>
      <c r="K106" s="40">
        <v>5781</v>
      </c>
      <c r="L106" s="40">
        <v>5417</v>
      </c>
      <c r="M106" s="34">
        <v>5197</v>
      </c>
      <c r="N106" s="40">
        <v>5083</v>
      </c>
      <c r="O106" s="40">
        <v>4992</v>
      </c>
      <c r="P106" s="40">
        <v>4961</v>
      </c>
      <c r="Q106" s="40">
        <v>4792</v>
      </c>
      <c r="R106" s="40">
        <v>4196</v>
      </c>
      <c r="S106" s="40">
        <v>3311</v>
      </c>
      <c r="T106" s="42">
        <v>2751</v>
      </c>
      <c r="U106" s="42">
        <v>1260</v>
      </c>
      <c r="V106" s="42">
        <v>597</v>
      </c>
      <c r="W106" s="40">
        <v>359</v>
      </c>
      <c r="X106" s="40">
        <v>174</v>
      </c>
      <c r="Y106" s="32">
        <v>0</v>
      </c>
    </row>
    <row r="107" spans="1:25" x14ac:dyDescent="0.25">
      <c r="A107" s="31">
        <v>2</v>
      </c>
      <c r="B107" s="32">
        <v>1500</v>
      </c>
      <c r="C107" s="33">
        <v>18947</v>
      </c>
      <c r="D107" s="34">
        <v>15537</v>
      </c>
      <c r="E107" s="34">
        <v>12233</v>
      </c>
      <c r="F107" s="34">
        <v>9416</v>
      </c>
      <c r="G107" s="40">
        <v>8215</v>
      </c>
      <c r="H107" s="40">
        <v>7670</v>
      </c>
      <c r="I107" s="40">
        <v>7342</v>
      </c>
      <c r="J107" s="40">
        <v>6660</v>
      </c>
      <c r="K107" s="40">
        <v>6095</v>
      </c>
      <c r="L107" s="40">
        <v>5463</v>
      </c>
      <c r="M107" s="40">
        <v>5141</v>
      </c>
      <c r="N107" s="40">
        <v>4871</v>
      </c>
      <c r="O107" s="40">
        <v>4766</v>
      </c>
      <c r="P107" s="40">
        <v>4524</v>
      </c>
      <c r="Q107" s="40">
        <v>4389</v>
      </c>
      <c r="R107" s="40">
        <v>2926</v>
      </c>
      <c r="S107" s="42">
        <v>1903</v>
      </c>
      <c r="T107" s="42">
        <v>897</v>
      </c>
      <c r="U107" s="40">
        <v>512</v>
      </c>
      <c r="V107" s="40">
        <v>288</v>
      </c>
      <c r="W107" s="40">
        <v>163</v>
      </c>
      <c r="X107" s="40">
        <v>97</v>
      </c>
      <c r="Y107" s="32">
        <v>0</v>
      </c>
    </row>
    <row r="108" spans="1:25" x14ac:dyDescent="0.25">
      <c r="A108" s="31">
        <v>2</v>
      </c>
      <c r="B108" s="32">
        <v>2000</v>
      </c>
      <c r="C108" s="33">
        <v>21106</v>
      </c>
      <c r="D108" s="34">
        <v>17297</v>
      </c>
      <c r="E108" s="34">
        <v>13588</v>
      </c>
      <c r="F108" s="40">
        <v>10513</v>
      </c>
      <c r="G108" s="40">
        <v>9584</v>
      </c>
      <c r="H108" s="40">
        <v>8982</v>
      </c>
      <c r="I108" s="40">
        <v>8305</v>
      </c>
      <c r="J108" s="40">
        <v>7261</v>
      </c>
      <c r="K108" s="34">
        <v>6199</v>
      </c>
      <c r="L108" s="34">
        <v>5406</v>
      </c>
      <c r="M108" s="40">
        <v>4996</v>
      </c>
      <c r="N108" s="40">
        <v>4595</v>
      </c>
      <c r="O108" s="40">
        <v>4283</v>
      </c>
      <c r="P108" s="40">
        <v>3824</v>
      </c>
      <c r="Q108" s="42">
        <v>3026</v>
      </c>
      <c r="R108" s="42">
        <v>1357</v>
      </c>
      <c r="S108" s="40">
        <v>1172</v>
      </c>
      <c r="T108" s="40">
        <v>682</v>
      </c>
      <c r="U108" s="40">
        <v>418</v>
      </c>
      <c r="V108" s="40">
        <v>196</v>
      </c>
      <c r="W108" s="34">
        <v>97</v>
      </c>
      <c r="X108" s="34">
        <v>60</v>
      </c>
      <c r="Y108" s="41">
        <v>0</v>
      </c>
    </row>
    <row r="109" spans="1:25" x14ac:dyDescent="0.25">
      <c r="A109" s="31">
        <v>2</v>
      </c>
      <c r="B109" s="32">
        <v>2500</v>
      </c>
      <c r="C109" s="33">
        <v>23353</v>
      </c>
      <c r="D109" s="34">
        <v>19098</v>
      </c>
      <c r="E109" s="40">
        <v>14933</v>
      </c>
      <c r="F109" s="40">
        <v>11161</v>
      </c>
      <c r="G109" s="40">
        <v>10279</v>
      </c>
      <c r="H109" s="40">
        <v>8996</v>
      </c>
      <c r="I109" s="40">
        <v>8116</v>
      </c>
      <c r="J109" s="40">
        <v>7196</v>
      </c>
      <c r="K109" s="34">
        <v>5976</v>
      </c>
      <c r="L109" s="40">
        <v>5302</v>
      </c>
      <c r="M109" s="40">
        <v>4856</v>
      </c>
      <c r="N109" s="40">
        <v>4552</v>
      </c>
      <c r="O109" s="40">
        <v>3943</v>
      </c>
      <c r="P109" s="40">
        <v>3328</v>
      </c>
      <c r="Q109" s="42">
        <v>1613</v>
      </c>
      <c r="R109" s="42">
        <v>1237</v>
      </c>
      <c r="S109" s="40">
        <v>958</v>
      </c>
      <c r="T109" s="40">
        <v>556</v>
      </c>
      <c r="U109" s="34">
        <v>313</v>
      </c>
      <c r="V109" s="34">
        <v>157</v>
      </c>
      <c r="W109" s="34">
        <v>53</v>
      </c>
      <c r="X109" s="34">
        <v>29</v>
      </c>
      <c r="Y109" s="41">
        <v>0</v>
      </c>
    </row>
    <row r="110" spans="1:25" x14ac:dyDescent="0.25">
      <c r="A110" s="31">
        <v>2</v>
      </c>
      <c r="B110" s="32">
        <v>3000</v>
      </c>
      <c r="C110" s="33">
        <v>25197</v>
      </c>
      <c r="D110" s="34">
        <v>20509</v>
      </c>
      <c r="E110" s="40">
        <v>15816</v>
      </c>
      <c r="F110" s="40">
        <v>11602</v>
      </c>
      <c r="G110" s="40">
        <v>10578</v>
      </c>
      <c r="H110" s="40">
        <v>8792</v>
      </c>
      <c r="I110" s="34">
        <v>7549</v>
      </c>
      <c r="J110" s="34">
        <v>7112</v>
      </c>
      <c r="K110" s="34">
        <v>5860</v>
      </c>
      <c r="L110" s="40">
        <v>5169</v>
      </c>
      <c r="M110" s="40">
        <v>4798</v>
      </c>
      <c r="N110" s="40">
        <v>4483</v>
      </c>
      <c r="O110" s="40">
        <v>3798</v>
      </c>
      <c r="P110" s="42">
        <v>2570</v>
      </c>
      <c r="Q110" s="42">
        <v>1185</v>
      </c>
      <c r="R110" s="40">
        <v>1020</v>
      </c>
      <c r="S110" s="40">
        <v>731</v>
      </c>
      <c r="T110" s="34">
        <v>594</v>
      </c>
      <c r="U110" s="34">
        <v>331</v>
      </c>
      <c r="V110" s="34">
        <v>172</v>
      </c>
      <c r="W110" s="34">
        <v>59</v>
      </c>
      <c r="X110" s="34">
        <v>27</v>
      </c>
      <c r="Y110" s="41">
        <v>0</v>
      </c>
    </row>
    <row r="111" spans="1:25" x14ac:dyDescent="0.25">
      <c r="A111" s="31">
        <v>2</v>
      </c>
      <c r="B111" s="32">
        <v>3500</v>
      </c>
      <c r="C111" s="33">
        <v>26816</v>
      </c>
      <c r="D111" s="34">
        <v>21723</v>
      </c>
      <c r="E111" s="40">
        <v>16526</v>
      </c>
      <c r="F111" s="40">
        <v>11317</v>
      </c>
      <c r="G111" s="40">
        <v>10169</v>
      </c>
      <c r="H111" s="40">
        <v>8672</v>
      </c>
      <c r="I111" s="34">
        <v>7475</v>
      </c>
      <c r="J111" s="34">
        <v>7057</v>
      </c>
      <c r="K111" s="40">
        <v>5794</v>
      </c>
      <c r="L111" s="40">
        <v>5042</v>
      </c>
      <c r="M111" s="40">
        <v>4687</v>
      </c>
      <c r="N111" s="40">
        <v>4310</v>
      </c>
      <c r="O111" s="40">
        <v>3476</v>
      </c>
      <c r="P111" s="40">
        <v>2403</v>
      </c>
      <c r="Q111" s="40">
        <v>1342</v>
      </c>
      <c r="R111" s="40">
        <v>979</v>
      </c>
      <c r="S111" s="34">
        <v>839</v>
      </c>
      <c r="T111" s="34">
        <v>697</v>
      </c>
      <c r="U111" s="34">
        <v>442</v>
      </c>
      <c r="V111" s="34">
        <v>254</v>
      </c>
      <c r="W111" s="34">
        <v>83</v>
      </c>
      <c r="X111" s="34">
        <v>36</v>
      </c>
      <c r="Y111" s="41">
        <v>0</v>
      </c>
    </row>
    <row r="112" spans="1:25" x14ac:dyDescent="0.25">
      <c r="A112" s="31">
        <v>2</v>
      </c>
      <c r="B112" s="32">
        <v>4000</v>
      </c>
      <c r="C112" s="33">
        <v>28328</v>
      </c>
      <c r="D112" s="34">
        <v>22765</v>
      </c>
      <c r="E112" s="40">
        <v>16902</v>
      </c>
      <c r="F112" s="40">
        <v>10802</v>
      </c>
      <c r="G112" s="40">
        <v>9806</v>
      </c>
      <c r="H112" s="40">
        <v>8752</v>
      </c>
      <c r="I112" s="40">
        <v>7542</v>
      </c>
      <c r="J112" s="40">
        <v>7103</v>
      </c>
      <c r="K112" s="40">
        <v>5878</v>
      </c>
      <c r="L112" s="40">
        <v>4951</v>
      </c>
      <c r="M112" s="40">
        <v>4485</v>
      </c>
      <c r="N112" s="40">
        <v>3868</v>
      </c>
      <c r="O112" s="40">
        <v>3301</v>
      </c>
      <c r="P112" s="40">
        <v>2367</v>
      </c>
      <c r="Q112" s="40">
        <v>1642</v>
      </c>
      <c r="R112" s="34">
        <v>1318</v>
      </c>
      <c r="S112" s="34">
        <v>1147</v>
      </c>
      <c r="T112" s="34">
        <v>996</v>
      </c>
      <c r="U112" s="34">
        <v>606</v>
      </c>
      <c r="V112" s="34">
        <v>318</v>
      </c>
      <c r="W112" s="34">
        <v>104</v>
      </c>
      <c r="X112" s="34">
        <v>40</v>
      </c>
      <c r="Y112" s="41">
        <v>0</v>
      </c>
    </row>
    <row r="113" spans="1:25" x14ac:dyDescent="0.25">
      <c r="A113" s="31">
        <v>2</v>
      </c>
      <c r="B113" s="32">
        <v>4500</v>
      </c>
      <c r="C113" s="33">
        <v>29717</v>
      </c>
      <c r="D113" s="34">
        <v>23920</v>
      </c>
      <c r="E113" s="34">
        <v>17644</v>
      </c>
      <c r="F113" s="40">
        <v>10857</v>
      </c>
      <c r="G113" s="40">
        <v>9984</v>
      </c>
      <c r="H113" s="40">
        <v>8899</v>
      </c>
      <c r="I113" s="40">
        <v>7663</v>
      </c>
      <c r="J113" s="40">
        <v>7149</v>
      </c>
      <c r="K113" s="40">
        <v>5913</v>
      </c>
      <c r="L113" s="40">
        <v>4875</v>
      </c>
      <c r="M113" s="40">
        <v>4223</v>
      </c>
      <c r="N113" s="40">
        <v>3760</v>
      </c>
      <c r="O113" s="40">
        <v>3206</v>
      </c>
      <c r="P113" s="40">
        <v>2375</v>
      </c>
      <c r="Q113" s="40">
        <v>1758</v>
      </c>
      <c r="R113" s="34">
        <v>1445</v>
      </c>
      <c r="S113" s="34">
        <v>1258</v>
      </c>
      <c r="T113" s="34">
        <v>1062</v>
      </c>
      <c r="U113" s="34">
        <v>653</v>
      </c>
      <c r="V113" s="34">
        <v>340</v>
      </c>
      <c r="W113" s="34">
        <v>119</v>
      </c>
      <c r="X113" s="34">
        <v>47</v>
      </c>
      <c r="Y113" s="41">
        <v>0</v>
      </c>
    </row>
    <row r="114" spans="1:25" x14ac:dyDescent="0.25">
      <c r="A114" s="31">
        <v>2</v>
      </c>
      <c r="B114" s="32">
        <v>5000</v>
      </c>
      <c r="C114" s="33">
        <v>30638</v>
      </c>
      <c r="D114" s="34">
        <v>24767</v>
      </c>
      <c r="E114" s="40">
        <v>18164</v>
      </c>
      <c r="F114" s="40">
        <v>11811</v>
      </c>
      <c r="G114" s="40">
        <v>10290</v>
      </c>
      <c r="H114" s="40">
        <v>9037</v>
      </c>
      <c r="I114" s="40">
        <v>7624</v>
      </c>
      <c r="J114" s="40">
        <v>7195</v>
      </c>
      <c r="K114" s="40">
        <v>5997</v>
      </c>
      <c r="L114" s="40">
        <v>4789</v>
      </c>
      <c r="M114" s="40">
        <v>4069</v>
      </c>
      <c r="N114" s="40">
        <v>3605</v>
      </c>
      <c r="O114" s="40">
        <v>3089</v>
      </c>
      <c r="P114" s="40">
        <v>2389</v>
      </c>
      <c r="Q114" s="34">
        <v>1803</v>
      </c>
      <c r="R114" s="34">
        <v>1545</v>
      </c>
      <c r="S114" s="34">
        <v>1346</v>
      </c>
      <c r="T114" s="34">
        <v>1131</v>
      </c>
      <c r="U114" s="34">
        <v>712</v>
      </c>
      <c r="V114" s="34">
        <v>390</v>
      </c>
      <c r="W114" s="34">
        <v>134</v>
      </c>
      <c r="X114" s="34">
        <v>56</v>
      </c>
      <c r="Y114" s="39">
        <v>0</v>
      </c>
    </row>
    <row r="115" spans="1:25" x14ac:dyDescent="0.25">
      <c r="A115" s="31">
        <v>2</v>
      </c>
      <c r="B115" s="32">
        <v>5500</v>
      </c>
      <c r="C115" s="33">
        <v>32102</v>
      </c>
      <c r="D115" s="34">
        <v>25866</v>
      </c>
      <c r="E115" s="40">
        <v>18832</v>
      </c>
      <c r="F115" s="40">
        <v>12769</v>
      </c>
      <c r="G115" s="40">
        <v>10862</v>
      </c>
      <c r="H115" s="40">
        <v>9069</v>
      </c>
      <c r="I115" s="40">
        <v>7652</v>
      </c>
      <c r="J115" s="40">
        <v>7041</v>
      </c>
      <c r="K115" s="40">
        <v>6021</v>
      </c>
      <c r="L115" s="40">
        <v>4783</v>
      </c>
      <c r="M115" s="40">
        <v>3970</v>
      </c>
      <c r="N115" s="40">
        <v>3532</v>
      </c>
      <c r="O115" s="40">
        <v>3006</v>
      </c>
      <c r="P115" s="40">
        <v>2379</v>
      </c>
      <c r="Q115" s="34">
        <v>1897</v>
      </c>
      <c r="R115" s="34">
        <v>1647</v>
      </c>
      <c r="S115" s="34">
        <v>1440</v>
      </c>
      <c r="T115" s="34">
        <v>1212</v>
      </c>
      <c r="U115" s="34">
        <v>781</v>
      </c>
      <c r="V115" s="34">
        <v>412</v>
      </c>
      <c r="W115" s="34">
        <v>153</v>
      </c>
      <c r="X115" s="33">
        <v>67</v>
      </c>
      <c r="Y115" s="39">
        <v>0</v>
      </c>
    </row>
    <row r="116" spans="1:25" x14ac:dyDescent="0.25">
      <c r="A116" s="31">
        <v>2</v>
      </c>
      <c r="B116" s="32">
        <v>6000</v>
      </c>
      <c r="C116" s="33">
        <v>33085</v>
      </c>
      <c r="D116" s="34">
        <v>26751</v>
      </c>
      <c r="E116" s="34">
        <v>19986</v>
      </c>
      <c r="F116" s="34">
        <v>13576</v>
      </c>
      <c r="G116" s="34">
        <v>11244</v>
      </c>
      <c r="H116" s="34">
        <v>9316</v>
      </c>
      <c r="I116" s="40">
        <v>7681</v>
      </c>
      <c r="J116" s="40">
        <v>6987</v>
      </c>
      <c r="K116" s="40">
        <v>6065</v>
      </c>
      <c r="L116" s="40">
        <v>4800</v>
      </c>
      <c r="M116" s="40">
        <v>3812</v>
      </c>
      <c r="N116" s="40">
        <v>3481</v>
      </c>
      <c r="O116" s="34">
        <v>2959</v>
      </c>
      <c r="P116" s="34">
        <v>2391</v>
      </c>
      <c r="Q116" s="34">
        <v>1992</v>
      </c>
      <c r="R116" s="34">
        <v>1742</v>
      </c>
      <c r="S116" s="34">
        <v>1516</v>
      </c>
      <c r="T116" s="34">
        <v>1287</v>
      </c>
      <c r="U116" s="34">
        <v>848</v>
      </c>
      <c r="V116" s="34">
        <v>452</v>
      </c>
      <c r="W116" s="33">
        <v>177</v>
      </c>
      <c r="X116" s="33">
        <v>80</v>
      </c>
      <c r="Y116" s="39">
        <v>0</v>
      </c>
    </row>
    <row r="117" spans="1:25" x14ac:dyDescent="0.25">
      <c r="A117" s="31">
        <v>2</v>
      </c>
      <c r="B117" s="32">
        <v>6500</v>
      </c>
      <c r="C117" s="33">
        <v>34156</v>
      </c>
      <c r="D117" s="34">
        <v>27592</v>
      </c>
      <c r="E117" s="34">
        <v>20946</v>
      </c>
      <c r="F117" s="34">
        <v>14138</v>
      </c>
      <c r="G117" s="34">
        <v>11703</v>
      </c>
      <c r="H117" s="34">
        <v>9812</v>
      </c>
      <c r="I117" s="34">
        <v>7927</v>
      </c>
      <c r="J117" s="40">
        <v>6933</v>
      </c>
      <c r="K117" s="40">
        <v>6099</v>
      </c>
      <c r="L117" s="40">
        <v>4851</v>
      </c>
      <c r="M117" s="40">
        <v>3728</v>
      </c>
      <c r="N117" s="40">
        <v>3431</v>
      </c>
      <c r="O117" s="34">
        <v>2947</v>
      </c>
      <c r="P117" s="34">
        <v>2452</v>
      </c>
      <c r="Q117" s="34">
        <v>2094</v>
      </c>
      <c r="R117" s="34">
        <v>1842</v>
      </c>
      <c r="S117" s="34">
        <v>1602</v>
      </c>
      <c r="T117" s="34">
        <v>1371</v>
      </c>
      <c r="U117" s="34">
        <v>928</v>
      </c>
      <c r="V117" s="34">
        <v>499</v>
      </c>
      <c r="W117" s="33">
        <v>205</v>
      </c>
      <c r="X117" s="33">
        <v>95</v>
      </c>
      <c r="Y117" s="39">
        <v>0</v>
      </c>
    </row>
    <row r="118" spans="1:25" x14ac:dyDescent="0.25">
      <c r="A118" s="31">
        <v>2</v>
      </c>
      <c r="B118" s="32">
        <v>7000</v>
      </c>
      <c r="C118" s="33">
        <v>35131</v>
      </c>
      <c r="D118" s="34">
        <v>28383</v>
      </c>
      <c r="E118" s="34">
        <v>21563</v>
      </c>
      <c r="F118" s="34">
        <v>14625</v>
      </c>
      <c r="G118" s="34">
        <v>12253</v>
      </c>
      <c r="H118" s="40">
        <v>10016</v>
      </c>
      <c r="I118" s="40">
        <v>8186</v>
      </c>
      <c r="J118" s="40">
        <v>6988</v>
      </c>
      <c r="K118" s="40">
        <v>6134</v>
      </c>
      <c r="L118" s="34">
        <v>4932</v>
      </c>
      <c r="M118" s="34">
        <v>3753</v>
      </c>
      <c r="N118" s="34">
        <v>3344</v>
      </c>
      <c r="O118" s="34">
        <v>2933</v>
      </c>
      <c r="P118" s="34">
        <v>2513</v>
      </c>
      <c r="Q118" s="34">
        <v>2190</v>
      </c>
      <c r="R118" s="34">
        <v>1935</v>
      </c>
      <c r="S118" s="34">
        <v>1692</v>
      </c>
      <c r="T118" s="34">
        <v>1458</v>
      </c>
      <c r="U118" s="34">
        <v>1006</v>
      </c>
      <c r="V118" s="33">
        <v>551</v>
      </c>
      <c r="W118" s="33">
        <v>233</v>
      </c>
      <c r="X118" s="33">
        <v>110</v>
      </c>
      <c r="Y118" s="39">
        <v>0</v>
      </c>
    </row>
    <row r="119" spans="1:25" x14ac:dyDescent="0.25">
      <c r="A119" s="31">
        <v>2</v>
      </c>
      <c r="B119" s="32">
        <v>7500</v>
      </c>
      <c r="C119" s="33">
        <v>35897</v>
      </c>
      <c r="D119" s="34">
        <v>29010</v>
      </c>
      <c r="E119" s="34">
        <v>22130</v>
      </c>
      <c r="F119" s="34">
        <v>15499</v>
      </c>
      <c r="G119" s="34">
        <v>12704</v>
      </c>
      <c r="H119" s="40">
        <v>10558</v>
      </c>
      <c r="I119" s="40">
        <v>8396</v>
      </c>
      <c r="J119" s="40">
        <v>7041</v>
      </c>
      <c r="K119" s="40">
        <v>6198</v>
      </c>
      <c r="L119" s="34">
        <v>5027</v>
      </c>
      <c r="M119" s="34">
        <v>3844</v>
      </c>
      <c r="N119" s="34">
        <v>3322</v>
      </c>
      <c r="O119" s="34">
        <v>2983</v>
      </c>
      <c r="P119" s="34">
        <v>2581</v>
      </c>
      <c r="Q119" s="34">
        <v>2286</v>
      </c>
      <c r="R119" s="34">
        <v>2013</v>
      </c>
      <c r="S119" s="34">
        <v>1767</v>
      </c>
      <c r="T119" s="34">
        <v>1530</v>
      </c>
      <c r="U119" s="33">
        <v>1073</v>
      </c>
      <c r="V119" s="33">
        <v>599</v>
      </c>
      <c r="W119" s="33">
        <v>247</v>
      </c>
      <c r="X119" s="33">
        <v>118</v>
      </c>
      <c r="Y119" s="39">
        <v>0</v>
      </c>
    </row>
    <row r="120" spans="1:25" x14ac:dyDescent="0.25">
      <c r="A120" s="31">
        <v>2</v>
      </c>
      <c r="B120" s="32">
        <v>8000</v>
      </c>
      <c r="C120" s="33">
        <v>36663</v>
      </c>
      <c r="D120" s="34">
        <v>29609</v>
      </c>
      <c r="E120" s="34">
        <v>22628</v>
      </c>
      <c r="F120" s="34">
        <v>16442</v>
      </c>
      <c r="G120" s="34">
        <v>13306</v>
      </c>
      <c r="H120" s="34">
        <v>10940</v>
      </c>
      <c r="I120" s="34">
        <v>8676</v>
      </c>
      <c r="J120" s="34">
        <v>7070</v>
      </c>
      <c r="K120" s="34">
        <v>6292</v>
      </c>
      <c r="L120" s="34">
        <v>5167</v>
      </c>
      <c r="M120" s="34">
        <v>3886</v>
      </c>
      <c r="N120" s="34">
        <v>3403</v>
      </c>
      <c r="O120" s="34">
        <v>3098</v>
      </c>
      <c r="P120" s="34">
        <v>2696</v>
      </c>
      <c r="Q120" s="34">
        <v>2363</v>
      </c>
      <c r="R120" s="34">
        <v>2077</v>
      </c>
      <c r="S120" s="34">
        <v>1827</v>
      </c>
      <c r="T120" s="34">
        <v>1595</v>
      </c>
      <c r="U120" s="33">
        <v>1134</v>
      </c>
      <c r="V120" s="33">
        <v>633</v>
      </c>
      <c r="W120" s="33">
        <v>259</v>
      </c>
      <c r="X120" s="33">
        <v>122</v>
      </c>
      <c r="Y120" s="39">
        <v>0</v>
      </c>
    </row>
    <row r="121" spans="1:25" x14ac:dyDescent="0.25">
      <c r="A121" s="40"/>
      <c r="B121" s="32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32"/>
    </row>
    <row r="122" spans="1:25" x14ac:dyDescent="0.25">
      <c r="A122" s="31">
        <v>3</v>
      </c>
      <c r="B122" s="32">
        <v>0</v>
      </c>
      <c r="C122" s="34">
        <v>6741</v>
      </c>
      <c r="D122" s="34">
        <v>6001</v>
      </c>
      <c r="E122" s="34">
        <v>5272</v>
      </c>
      <c r="F122" s="34">
        <v>4593</v>
      </c>
      <c r="G122" s="34">
        <v>4213</v>
      </c>
      <c r="H122" s="34">
        <v>3873</v>
      </c>
      <c r="I122" s="34">
        <v>3447</v>
      </c>
      <c r="J122" s="34">
        <v>2943</v>
      </c>
      <c r="K122" s="34">
        <v>2431</v>
      </c>
      <c r="L122" s="34">
        <v>1979</v>
      </c>
      <c r="M122" s="34">
        <v>1551</v>
      </c>
      <c r="N122" s="34">
        <v>1181</v>
      </c>
      <c r="O122" s="34">
        <v>929</v>
      </c>
      <c r="P122" s="34">
        <v>741</v>
      </c>
      <c r="Q122" s="34">
        <v>615</v>
      </c>
      <c r="R122" s="34">
        <v>539</v>
      </c>
      <c r="S122" s="34">
        <v>482</v>
      </c>
      <c r="T122" s="34">
        <v>443</v>
      </c>
      <c r="U122" s="34">
        <v>396</v>
      </c>
      <c r="V122" s="34">
        <v>350</v>
      </c>
      <c r="W122" s="40">
        <v>247</v>
      </c>
      <c r="X122" s="40">
        <v>178</v>
      </c>
      <c r="Y122" s="32">
        <v>0</v>
      </c>
    </row>
    <row r="123" spans="1:25" x14ac:dyDescent="0.25">
      <c r="A123" s="31">
        <v>3</v>
      </c>
      <c r="B123" s="32">
        <v>50</v>
      </c>
      <c r="C123" s="34">
        <v>7222</v>
      </c>
      <c r="D123" s="34">
        <v>6535</v>
      </c>
      <c r="E123" s="34">
        <v>5910</v>
      </c>
      <c r="F123" s="34">
        <v>5303</v>
      </c>
      <c r="G123" s="34">
        <v>4961</v>
      </c>
      <c r="H123" s="34">
        <v>4653</v>
      </c>
      <c r="I123" s="34">
        <v>4297</v>
      </c>
      <c r="J123" s="34">
        <v>3850</v>
      </c>
      <c r="K123" s="34">
        <v>3325</v>
      </c>
      <c r="L123" s="34">
        <v>2890</v>
      </c>
      <c r="M123" s="34">
        <v>2482</v>
      </c>
      <c r="N123" s="34">
        <v>2126</v>
      </c>
      <c r="O123" s="34">
        <v>1884</v>
      </c>
      <c r="P123" s="34">
        <v>1693</v>
      </c>
      <c r="Q123" s="34">
        <v>1549</v>
      </c>
      <c r="R123" s="34">
        <v>1449</v>
      </c>
      <c r="S123" s="34">
        <v>1361</v>
      </c>
      <c r="T123" s="34">
        <v>1333</v>
      </c>
      <c r="U123" s="34">
        <v>1219</v>
      </c>
      <c r="V123" s="34">
        <v>1105</v>
      </c>
      <c r="W123" s="40">
        <v>704</v>
      </c>
      <c r="X123" s="40">
        <v>429</v>
      </c>
      <c r="Y123" s="32">
        <v>0</v>
      </c>
    </row>
    <row r="124" spans="1:25" x14ac:dyDescent="0.25">
      <c r="A124" s="31">
        <v>3</v>
      </c>
      <c r="B124" s="32">
        <v>100</v>
      </c>
      <c r="C124" s="34">
        <v>8514</v>
      </c>
      <c r="D124" s="34">
        <v>7599</v>
      </c>
      <c r="E124" s="34">
        <v>6831</v>
      </c>
      <c r="F124" s="34">
        <v>6315</v>
      </c>
      <c r="G124" s="34">
        <v>6057</v>
      </c>
      <c r="H124" s="34">
        <v>5809</v>
      </c>
      <c r="I124" s="34">
        <v>5525</v>
      </c>
      <c r="J124" s="34">
        <v>5121</v>
      </c>
      <c r="K124" s="34">
        <v>4495</v>
      </c>
      <c r="L124" s="34">
        <v>3921</v>
      </c>
      <c r="M124" s="34">
        <v>3575</v>
      </c>
      <c r="N124" s="34">
        <v>3415</v>
      </c>
      <c r="O124" s="34">
        <v>3262</v>
      </c>
      <c r="P124" s="34">
        <v>3171</v>
      </c>
      <c r="Q124" s="34">
        <v>3010</v>
      </c>
      <c r="R124" s="34">
        <v>2948</v>
      </c>
      <c r="S124" s="34">
        <v>2926</v>
      </c>
      <c r="T124" s="34">
        <v>2771</v>
      </c>
      <c r="U124" s="40">
        <v>2483</v>
      </c>
      <c r="V124" s="40">
        <v>2059</v>
      </c>
      <c r="W124" s="40">
        <v>1204</v>
      </c>
      <c r="X124" s="40">
        <v>672</v>
      </c>
      <c r="Y124" s="32">
        <v>0</v>
      </c>
    </row>
    <row r="125" spans="1:25" x14ac:dyDescent="0.25">
      <c r="A125" s="31">
        <v>3</v>
      </c>
      <c r="B125" s="32">
        <v>300</v>
      </c>
      <c r="C125" s="34">
        <v>9536</v>
      </c>
      <c r="D125" s="34">
        <v>8324</v>
      </c>
      <c r="E125" s="34">
        <v>7523</v>
      </c>
      <c r="F125" s="34">
        <v>7171</v>
      </c>
      <c r="G125" s="34">
        <v>7064</v>
      </c>
      <c r="H125" s="34">
        <v>6874</v>
      </c>
      <c r="I125" s="34">
        <v>6780</v>
      </c>
      <c r="J125" s="34">
        <v>6474</v>
      </c>
      <c r="K125" s="34">
        <v>6115</v>
      </c>
      <c r="L125" s="34">
        <v>5666</v>
      </c>
      <c r="M125" s="34">
        <v>5165</v>
      </c>
      <c r="N125" s="34">
        <v>4849</v>
      </c>
      <c r="O125" s="34">
        <v>4508</v>
      </c>
      <c r="P125" s="34">
        <v>4218</v>
      </c>
      <c r="Q125" s="34">
        <v>3971</v>
      </c>
      <c r="R125" s="34">
        <v>3752</v>
      </c>
      <c r="S125" s="34">
        <v>3545</v>
      </c>
      <c r="T125" s="34">
        <v>3485</v>
      </c>
      <c r="U125" s="40">
        <v>3140</v>
      </c>
      <c r="V125" s="40">
        <v>2620</v>
      </c>
      <c r="W125" s="40">
        <v>1630</v>
      </c>
      <c r="X125" s="40">
        <v>893</v>
      </c>
      <c r="Y125" s="32">
        <v>0</v>
      </c>
    </row>
    <row r="126" spans="1:25" x14ac:dyDescent="0.25">
      <c r="A126" s="31">
        <v>3</v>
      </c>
      <c r="B126" s="32">
        <v>500</v>
      </c>
      <c r="C126" s="34">
        <v>10708</v>
      </c>
      <c r="D126" s="34">
        <v>9149</v>
      </c>
      <c r="E126" s="34">
        <v>8018</v>
      </c>
      <c r="F126" s="34">
        <v>7426</v>
      </c>
      <c r="G126" s="34">
        <v>7188</v>
      </c>
      <c r="H126" s="34">
        <v>7073</v>
      </c>
      <c r="I126" s="34">
        <v>6950</v>
      </c>
      <c r="J126" s="34">
        <v>6649</v>
      </c>
      <c r="K126" s="34">
        <v>6453</v>
      </c>
      <c r="L126" s="34">
        <v>5959</v>
      </c>
      <c r="M126" s="34">
        <v>5439</v>
      </c>
      <c r="N126" s="34">
        <v>5061</v>
      </c>
      <c r="O126" s="34">
        <v>4767</v>
      </c>
      <c r="P126" s="34">
        <v>4432</v>
      </c>
      <c r="Q126" s="34">
        <v>4259</v>
      </c>
      <c r="R126" s="34">
        <v>4150</v>
      </c>
      <c r="S126" s="40">
        <v>3967</v>
      </c>
      <c r="T126" s="40">
        <v>3742</v>
      </c>
      <c r="U126" s="42">
        <v>3589</v>
      </c>
      <c r="V126" s="42">
        <v>2645</v>
      </c>
      <c r="W126" s="42">
        <v>1604</v>
      </c>
      <c r="X126" s="42">
        <v>956</v>
      </c>
      <c r="Y126" s="32">
        <v>0</v>
      </c>
    </row>
    <row r="127" spans="1:25" x14ac:dyDescent="0.25">
      <c r="A127" s="31">
        <v>3</v>
      </c>
      <c r="B127" s="32">
        <v>750</v>
      </c>
      <c r="C127" s="34">
        <v>12850</v>
      </c>
      <c r="D127" s="34">
        <v>10680</v>
      </c>
      <c r="E127" s="34">
        <v>8910</v>
      </c>
      <c r="F127" s="34">
        <v>7794</v>
      </c>
      <c r="G127" s="34">
        <v>7444</v>
      </c>
      <c r="H127" s="40">
        <v>7249</v>
      </c>
      <c r="I127" s="40">
        <v>7010</v>
      </c>
      <c r="J127" s="40">
        <v>6753</v>
      </c>
      <c r="K127" s="34">
        <v>6553</v>
      </c>
      <c r="L127" s="34">
        <v>6159</v>
      </c>
      <c r="M127" s="34">
        <v>5644</v>
      </c>
      <c r="N127" s="34">
        <v>5287</v>
      </c>
      <c r="O127" s="34">
        <v>4988</v>
      </c>
      <c r="P127" s="40">
        <v>4677</v>
      </c>
      <c r="Q127" s="40">
        <v>4591</v>
      </c>
      <c r="R127" s="40">
        <v>4477</v>
      </c>
      <c r="S127" s="40">
        <v>4271</v>
      </c>
      <c r="T127" s="40">
        <v>3926</v>
      </c>
      <c r="U127" s="42">
        <v>3069</v>
      </c>
      <c r="V127" s="42">
        <v>1951</v>
      </c>
      <c r="W127" s="42">
        <v>930</v>
      </c>
      <c r="X127" s="40">
        <v>382</v>
      </c>
      <c r="Y127" s="32">
        <v>0</v>
      </c>
    </row>
    <row r="128" spans="1:25" x14ac:dyDescent="0.25">
      <c r="A128" s="31">
        <v>3</v>
      </c>
      <c r="B128" s="32">
        <v>1000</v>
      </c>
      <c r="C128" s="34">
        <v>14637</v>
      </c>
      <c r="D128" s="34">
        <v>12105</v>
      </c>
      <c r="E128" s="34">
        <v>9835</v>
      </c>
      <c r="F128" s="34">
        <v>7934</v>
      </c>
      <c r="G128" s="40">
        <v>7668</v>
      </c>
      <c r="H128" s="40">
        <v>7280</v>
      </c>
      <c r="I128" s="40">
        <v>7085</v>
      </c>
      <c r="J128" s="40">
        <v>6777</v>
      </c>
      <c r="K128" s="34">
        <v>6547</v>
      </c>
      <c r="L128" s="34">
        <v>6178</v>
      </c>
      <c r="M128" s="34">
        <v>5762</v>
      </c>
      <c r="N128" s="40">
        <v>5420</v>
      </c>
      <c r="O128" s="40">
        <v>5207</v>
      </c>
      <c r="P128" s="40">
        <v>4928</v>
      </c>
      <c r="Q128" s="40">
        <v>4690</v>
      </c>
      <c r="R128" s="40">
        <v>4459</v>
      </c>
      <c r="S128" s="40">
        <v>3879</v>
      </c>
      <c r="T128" s="42">
        <v>3581</v>
      </c>
      <c r="U128" s="42">
        <v>2405</v>
      </c>
      <c r="V128" s="42">
        <v>1146</v>
      </c>
      <c r="W128" s="42">
        <v>587</v>
      </c>
      <c r="X128" s="40">
        <v>270</v>
      </c>
      <c r="Y128" s="32">
        <v>0</v>
      </c>
    </row>
    <row r="129" spans="1:25" x14ac:dyDescent="0.25">
      <c r="A129" s="31">
        <v>3</v>
      </c>
      <c r="B129" s="32">
        <v>1500</v>
      </c>
      <c r="C129" s="34">
        <v>17032</v>
      </c>
      <c r="D129" s="34">
        <v>14038</v>
      </c>
      <c r="E129" s="34">
        <v>11355</v>
      </c>
      <c r="F129" s="40">
        <v>9127</v>
      </c>
      <c r="G129" s="40">
        <v>8517</v>
      </c>
      <c r="H129" s="40">
        <v>8118</v>
      </c>
      <c r="I129" s="40">
        <v>7806</v>
      </c>
      <c r="J129" s="40">
        <v>7186</v>
      </c>
      <c r="K129" s="34">
        <v>6517</v>
      </c>
      <c r="L129" s="34">
        <v>6030</v>
      </c>
      <c r="M129" s="40">
        <v>5546</v>
      </c>
      <c r="N129" s="40">
        <v>5170</v>
      </c>
      <c r="O129" s="40">
        <v>4998</v>
      </c>
      <c r="P129" s="40">
        <v>4699</v>
      </c>
      <c r="Q129" s="40">
        <v>4281</v>
      </c>
      <c r="R129" s="40">
        <v>3622</v>
      </c>
      <c r="S129" s="40">
        <v>3030</v>
      </c>
      <c r="T129" s="42">
        <v>2756</v>
      </c>
      <c r="U129" s="42">
        <v>755</v>
      </c>
      <c r="V129" s="40">
        <v>656</v>
      </c>
      <c r="W129" s="40">
        <v>256</v>
      </c>
      <c r="X129" s="34">
        <v>139</v>
      </c>
      <c r="Y129" s="41">
        <v>0</v>
      </c>
    </row>
    <row r="130" spans="1:25" x14ac:dyDescent="0.25">
      <c r="A130" s="31">
        <v>3</v>
      </c>
      <c r="B130" s="32">
        <v>2000</v>
      </c>
      <c r="C130" s="34">
        <v>18967</v>
      </c>
      <c r="D130" s="34">
        <v>15630</v>
      </c>
      <c r="E130" s="34">
        <v>12632</v>
      </c>
      <c r="F130" s="40">
        <v>10069</v>
      </c>
      <c r="G130" s="40">
        <v>9300</v>
      </c>
      <c r="H130" s="40">
        <v>8626</v>
      </c>
      <c r="I130" s="40">
        <v>8094</v>
      </c>
      <c r="J130" s="40">
        <v>7373</v>
      </c>
      <c r="K130" s="34">
        <v>6337</v>
      </c>
      <c r="L130" s="34">
        <v>5718</v>
      </c>
      <c r="M130" s="40">
        <v>5192</v>
      </c>
      <c r="N130" s="40">
        <v>4738</v>
      </c>
      <c r="O130" s="40">
        <v>4342</v>
      </c>
      <c r="P130" s="40">
        <v>3782</v>
      </c>
      <c r="Q130" s="40">
        <v>3448</v>
      </c>
      <c r="R130" s="42">
        <v>2612</v>
      </c>
      <c r="S130" s="42">
        <v>1739</v>
      </c>
      <c r="T130" s="42">
        <v>938</v>
      </c>
      <c r="U130" s="40">
        <v>499</v>
      </c>
      <c r="V130" s="40">
        <v>279</v>
      </c>
      <c r="W130" s="34">
        <v>115</v>
      </c>
      <c r="X130" s="34">
        <v>82</v>
      </c>
      <c r="Y130" s="41">
        <v>0</v>
      </c>
    </row>
    <row r="131" spans="1:25" x14ac:dyDescent="0.25">
      <c r="A131" s="31">
        <v>3</v>
      </c>
      <c r="B131" s="32">
        <v>2500</v>
      </c>
      <c r="C131" s="34">
        <v>21002</v>
      </c>
      <c r="D131" s="34">
        <v>17244</v>
      </c>
      <c r="E131" s="40">
        <v>13569</v>
      </c>
      <c r="F131" s="40">
        <v>10901</v>
      </c>
      <c r="G131" s="40">
        <v>9793</v>
      </c>
      <c r="H131" s="40">
        <v>8745</v>
      </c>
      <c r="I131" s="40">
        <v>7997</v>
      </c>
      <c r="J131" s="40">
        <v>7221</v>
      </c>
      <c r="K131" s="34">
        <v>6085</v>
      </c>
      <c r="L131" s="40">
        <v>5432</v>
      </c>
      <c r="M131" s="40">
        <v>4993</v>
      </c>
      <c r="N131" s="40">
        <v>4483</v>
      </c>
      <c r="O131" s="40">
        <v>3959</v>
      </c>
      <c r="P131" s="40">
        <v>3547</v>
      </c>
      <c r="Q131" s="42">
        <v>2900</v>
      </c>
      <c r="R131" s="42">
        <v>1819</v>
      </c>
      <c r="S131" s="42">
        <v>978</v>
      </c>
      <c r="T131" s="40">
        <v>657</v>
      </c>
      <c r="U131" s="40">
        <v>342</v>
      </c>
      <c r="V131" s="34">
        <v>169</v>
      </c>
      <c r="W131" s="34">
        <v>63</v>
      </c>
      <c r="X131" s="34">
        <v>39</v>
      </c>
      <c r="Y131" s="41">
        <v>0</v>
      </c>
    </row>
    <row r="132" spans="1:25" x14ac:dyDescent="0.25">
      <c r="A132" s="31">
        <v>3</v>
      </c>
      <c r="B132" s="32">
        <v>3000</v>
      </c>
      <c r="C132" s="34">
        <v>22678</v>
      </c>
      <c r="D132" s="34">
        <v>18551</v>
      </c>
      <c r="E132" s="40">
        <v>14553</v>
      </c>
      <c r="F132" s="40">
        <v>11208</v>
      </c>
      <c r="G132" s="40">
        <v>10022</v>
      </c>
      <c r="H132" s="40">
        <v>8672</v>
      </c>
      <c r="I132" s="34">
        <v>7642</v>
      </c>
      <c r="J132" s="34">
        <v>6860</v>
      </c>
      <c r="K132" s="34">
        <v>5771</v>
      </c>
      <c r="L132" s="40">
        <v>5187</v>
      </c>
      <c r="M132" s="40">
        <v>4839</v>
      </c>
      <c r="N132" s="40">
        <v>4355</v>
      </c>
      <c r="O132" s="40">
        <v>3698</v>
      </c>
      <c r="P132" s="40">
        <v>3152</v>
      </c>
      <c r="Q132" s="42">
        <v>2289</v>
      </c>
      <c r="R132" s="42">
        <v>1188</v>
      </c>
      <c r="S132" s="40">
        <v>774</v>
      </c>
      <c r="T132" s="34">
        <v>578</v>
      </c>
      <c r="U132" s="34">
        <v>348</v>
      </c>
      <c r="V132" s="34">
        <v>179</v>
      </c>
      <c r="W132" s="34">
        <v>63</v>
      </c>
      <c r="X132" s="34">
        <v>32</v>
      </c>
      <c r="Y132" s="41">
        <v>0</v>
      </c>
    </row>
    <row r="133" spans="1:25" x14ac:dyDescent="0.25">
      <c r="A133" s="31">
        <v>3</v>
      </c>
      <c r="B133" s="32">
        <v>3500</v>
      </c>
      <c r="C133" s="34">
        <v>24225</v>
      </c>
      <c r="D133" s="34">
        <v>19619</v>
      </c>
      <c r="E133" s="40">
        <v>15027</v>
      </c>
      <c r="F133" s="40">
        <v>10936</v>
      </c>
      <c r="G133" s="40">
        <v>9909</v>
      </c>
      <c r="H133" s="40">
        <v>8471</v>
      </c>
      <c r="I133" s="34">
        <v>7428</v>
      </c>
      <c r="J133" s="34">
        <v>6681</v>
      </c>
      <c r="K133" s="40">
        <v>5567</v>
      </c>
      <c r="L133" s="40">
        <v>5023</v>
      </c>
      <c r="M133" s="40">
        <v>4646</v>
      </c>
      <c r="N133" s="40">
        <v>4230</v>
      </c>
      <c r="O133" s="40">
        <v>3567</v>
      </c>
      <c r="P133" s="40">
        <v>2745</v>
      </c>
      <c r="Q133" s="40">
        <v>1684</v>
      </c>
      <c r="R133" s="40">
        <v>1107</v>
      </c>
      <c r="S133" s="34">
        <v>859</v>
      </c>
      <c r="T133" s="34">
        <v>717</v>
      </c>
      <c r="U133" s="34">
        <v>458</v>
      </c>
      <c r="V133" s="34">
        <v>268</v>
      </c>
      <c r="W133" s="34">
        <v>92</v>
      </c>
      <c r="X133" s="34">
        <v>39</v>
      </c>
      <c r="Y133" s="41">
        <v>0</v>
      </c>
    </row>
    <row r="134" spans="1:25" x14ac:dyDescent="0.25">
      <c r="A134" s="31">
        <v>3</v>
      </c>
      <c r="B134" s="32">
        <v>4000</v>
      </c>
      <c r="C134" s="34">
        <v>25515</v>
      </c>
      <c r="D134" s="34">
        <v>20591</v>
      </c>
      <c r="E134" s="40">
        <v>15544</v>
      </c>
      <c r="F134" s="40">
        <v>10471</v>
      </c>
      <c r="G134" s="40">
        <v>9773</v>
      </c>
      <c r="H134" s="34">
        <v>8428</v>
      </c>
      <c r="I134" s="34">
        <v>7236</v>
      </c>
      <c r="J134" s="34">
        <v>6508</v>
      </c>
      <c r="K134" s="40">
        <v>5489</v>
      </c>
      <c r="L134" s="40">
        <v>4877</v>
      </c>
      <c r="M134" s="40">
        <v>4475</v>
      </c>
      <c r="N134" s="40">
        <v>3897</v>
      </c>
      <c r="O134" s="40">
        <v>3404</v>
      </c>
      <c r="P134" s="40">
        <v>2484</v>
      </c>
      <c r="Q134" s="40">
        <v>1609</v>
      </c>
      <c r="R134" s="34">
        <v>1338</v>
      </c>
      <c r="S134" s="34">
        <v>1175</v>
      </c>
      <c r="T134" s="34">
        <v>1004</v>
      </c>
      <c r="U134" s="34">
        <v>625</v>
      </c>
      <c r="V134" s="34">
        <v>334</v>
      </c>
      <c r="W134" s="34">
        <v>110</v>
      </c>
      <c r="X134" s="34">
        <v>41</v>
      </c>
      <c r="Y134" s="41">
        <v>0</v>
      </c>
    </row>
    <row r="135" spans="1:25" x14ac:dyDescent="0.25">
      <c r="A135" s="31">
        <v>3</v>
      </c>
      <c r="B135" s="32">
        <v>4500</v>
      </c>
      <c r="C135" s="34">
        <v>26660</v>
      </c>
      <c r="D135" s="34">
        <v>21487</v>
      </c>
      <c r="E135" s="34">
        <v>15956</v>
      </c>
      <c r="F135" s="40">
        <v>10512</v>
      </c>
      <c r="G135" s="40">
        <v>9920</v>
      </c>
      <c r="H135" s="40">
        <v>8426</v>
      </c>
      <c r="I135" s="40">
        <v>7206</v>
      </c>
      <c r="J135" s="40">
        <v>6588</v>
      </c>
      <c r="K135" s="34">
        <v>5452</v>
      </c>
      <c r="L135" s="40">
        <v>4690</v>
      </c>
      <c r="M135" s="40">
        <v>4299</v>
      </c>
      <c r="N135" s="40">
        <v>3747</v>
      </c>
      <c r="O135" s="40">
        <v>3179</v>
      </c>
      <c r="P135" s="40">
        <v>2366</v>
      </c>
      <c r="Q135" s="40">
        <v>1680</v>
      </c>
      <c r="R135" s="34">
        <v>1410</v>
      </c>
      <c r="S135" s="34">
        <v>1235</v>
      </c>
      <c r="T135" s="34">
        <v>1079</v>
      </c>
      <c r="U135" s="34">
        <v>668</v>
      </c>
      <c r="V135" s="34">
        <v>355</v>
      </c>
      <c r="W135" s="34">
        <v>119</v>
      </c>
      <c r="X135" s="34">
        <v>47</v>
      </c>
      <c r="Y135" s="41">
        <v>0</v>
      </c>
    </row>
    <row r="136" spans="1:25" x14ac:dyDescent="0.25">
      <c r="A136" s="31">
        <v>3</v>
      </c>
      <c r="B136" s="32">
        <v>5000</v>
      </c>
      <c r="C136" s="34">
        <v>27501</v>
      </c>
      <c r="D136" s="34">
        <v>22290</v>
      </c>
      <c r="E136" s="40">
        <v>16371</v>
      </c>
      <c r="F136" s="40">
        <v>11621</v>
      </c>
      <c r="G136" s="40">
        <v>10005</v>
      </c>
      <c r="H136" s="40">
        <v>8768</v>
      </c>
      <c r="I136" s="40">
        <v>7328</v>
      </c>
      <c r="J136" s="40">
        <v>6696</v>
      </c>
      <c r="K136" s="34">
        <v>5395</v>
      </c>
      <c r="L136" s="40">
        <v>4583</v>
      </c>
      <c r="M136" s="40">
        <v>4141</v>
      </c>
      <c r="N136" s="40">
        <v>3624</v>
      </c>
      <c r="O136" s="40">
        <v>3095</v>
      </c>
      <c r="P136" s="40">
        <v>2314</v>
      </c>
      <c r="Q136" s="34">
        <v>1740</v>
      </c>
      <c r="R136" s="34">
        <v>1498</v>
      </c>
      <c r="S136" s="34">
        <v>1329</v>
      </c>
      <c r="T136" s="34">
        <v>1142</v>
      </c>
      <c r="U136" s="34">
        <v>717</v>
      </c>
      <c r="V136" s="34">
        <v>382</v>
      </c>
      <c r="W136" s="34">
        <v>131</v>
      </c>
      <c r="X136" s="34">
        <v>54</v>
      </c>
      <c r="Y136" s="41">
        <v>0</v>
      </c>
    </row>
    <row r="137" spans="1:25" x14ac:dyDescent="0.25">
      <c r="A137" s="31">
        <v>3</v>
      </c>
      <c r="B137" s="32">
        <v>5500</v>
      </c>
      <c r="C137" s="34">
        <v>28809</v>
      </c>
      <c r="D137" s="34">
        <v>23183</v>
      </c>
      <c r="E137" s="40">
        <v>17231</v>
      </c>
      <c r="F137" s="40">
        <v>12402</v>
      </c>
      <c r="G137" s="40">
        <v>10644</v>
      </c>
      <c r="H137" s="40">
        <v>8980</v>
      </c>
      <c r="I137" s="40">
        <v>7486</v>
      </c>
      <c r="J137" s="40">
        <v>6632</v>
      </c>
      <c r="K137" s="34">
        <v>5297</v>
      </c>
      <c r="L137" s="40">
        <v>4509</v>
      </c>
      <c r="M137" s="40">
        <v>3993</v>
      </c>
      <c r="N137" s="40">
        <v>3593</v>
      </c>
      <c r="O137" s="40">
        <v>3009</v>
      </c>
      <c r="P137" s="40">
        <v>2318</v>
      </c>
      <c r="Q137" s="34">
        <v>1828</v>
      </c>
      <c r="R137" s="34">
        <v>1606</v>
      </c>
      <c r="S137" s="34">
        <v>1429</v>
      </c>
      <c r="T137" s="34">
        <v>1215</v>
      </c>
      <c r="U137" s="34">
        <v>781</v>
      </c>
      <c r="V137" s="34">
        <v>400</v>
      </c>
      <c r="W137" s="34">
        <v>147</v>
      </c>
      <c r="X137" s="34">
        <v>63</v>
      </c>
      <c r="Y137" s="41">
        <v>0</v>
      </c>
    </row>
    <row r="138" spans="1:25" x14ac:dyDescent="0.25">
      <c r="A138" s="31">
        <v>3</v>
      </c>
      <c r="B138" s="32">
        <v>6000</v>
      </c>
      <c r="C138" s="34">
        <v>29772</v>
      </c>
      <c r="D138" s="34">
        <v>24039</v>
      </c>
      <c r="E138" s="34">
        <v>18048</v>
      </c>
      <c r="F138" s="40">
        <v>13154</v>
      </c>
      <c r="G138" s="40">
        <v>11082</v>
      </c>
      <c r="H138" s="40">
        <v>9224</v>
      </c>
      <c r="I138" s="34">
        <v>7628</v>
      </c>
      <c r="J138" s="40">
        <v>6695</v>
      </c>
      <c r="K138" s="40">
        <v>5194</v>
      </c>
      <c r="L138" s="40">
        <v>4444</v>
      </c>
      <c r="M138" s="40">
        <v>3860</v>
      </c>
      <c r="N138" s="40">
        <v>3543</v>
      </c>
      <c r="O138" s="34">
        <v>2963</v>
      </c>
      <c r="P138" s="34">
        <v>2333</v>
      </c>
      <c r="Q138" s="34">
        <v>1936</v>
      </c>
      <c r="R138" s="34">
        <v>1719</v>
      </c>
      <c r="S138" s="34">
        <v>1506</v>
      </c>
      <c r="T138" s="34">
        <v>1282</v>
      </c>
      <c r="U138" s="34">
        <v>839</v>
      </c>
      <c r="V138" s="34">
        <v>434</v>
      </c>
      <c r="W138" s="34">
        <v>168</v>
      </c>
      <c r="X138" s="34">
        <v>75</v>
      </c>
      <c r="Y138" s="41">
        <v>0</v>
      </c>
    </row>
    <row r="139" spans="1:25" x14ac:dyDescent="0.25">
      <c r="A139" s="31">
        <v>3</v>
      </c>
      <c r="B139" s="32">
        <v>6500</v>
      </c>
      <c r="C139" s="34">
        <v>30660</v>
      </c>
      <c r="D139" s="34">
        <v>24751</v>
      </c>
      <c r="E139" s="34">
        <v>18858</v>
      </c>
      <c r="F139" s="40">
        <v>13660</v>
      </c>
      <c r="G139" s="40">
        <v>11303</v>
      </c>
      <c r="H139" s="40">
        <v>9721</v>
      </c>
      <c r="I139" s="34">
        <v>7856</v>
      </c>
      <c r="J139" s="40">
        <v>6714</v>
      </c>
      <c r="K139" s="40">
        <v>5329</v>
      </c>
      <c r="L139" s="40">
        <v>4555</v>
      </c>
      <c r="M139" s="40">
        <v>3791</v>
      </c>
      <c r="N139" s="40">
        <v>3514</v>
      </c>
      <c r="O139" s="34">
        <v>2974</v>
      </c>
      <c r="P139" s="34">
        <v>2439</v>
      </c>
      <c r="Q139" s="34">
        <v>2068</v>
      </c>
      <c r="R139" s="34">
        <v>1835</v>
      </c>
      <c r="S139" s="34">
        <v>1598</v>
      </c>
      <c r="T139" s="34">
        <v>1364</v>
      </c>
      <c r="U139" s="34">
        <v>917</v>
      </c>
      <c r="V139" s="34">
        <v>479</v>
      </c>
      <c r="W139" s="34">
        <v>194</v>
      </c>
      <c r="X139" s="34">
        <v>89</v>
      </c>
      <c r="Y139" s="41">
        <v>0</v>
      </c>
    </row>
    <row r="140" spans="1:25" x14ac:dyDescent="0.25">
      <c r="A140" s="31">
        <v>3</v>
      </c>
      <c r="B140" s="32">
        <v>7000</v>
      </c>
      <c r="C140" s="34">
        <v>31524</v>
      </c>
      <c r="D140" s="34">
        <v>25478</v>
      </c>
      <c r="E140" s="34">
        <v>19488</v>
      </c>
      <c r="F140" s="40">
        <v>14216</v>
      </c>
      <c r="G140" s="40">
        <v>11986</v>
      </c>
      <c r="H140" s="40">
        <v>10000</v>
      </c>
      <c r="I140" s="34">
        <v>8174</v>
      </c>
      <c r="J140" s="34">
        <v>6762</v>
      </c>
      <c r="K140" s="34">
        <v>5540</v>
      </c>
      <c r="L140" s="34">
        <v>4605</v>
      </c>
      <c r="M140" s="34">
        <v>3787</v>
      </c>
      <c r="N140" s="34">
        <v>3398</v>
      </c>
      <c r="O140" s="34">
        <v>2974</v>
      </c>
      <c r="P140" s="34">
        <v>2535</v>
      </c>
      <c r="Q140" s="34">
        <v>2197</v>
      </c>
      <c r="R140" s="34">
        <v>1944</v>
      </c>
      <c r="S140" s="34">
        <v>1696</v>
      </c>
      <c r="T140" s="34">
        <v>1457</v>
      </c>
      <c r="U140" s="34">
        <v>999</v>
      </c>
      <c r="V140" s="34">
        <v>531</v>
      </c>
      <c r="W140" s="34">
        <v>223</v>
      </c>
      <c r="X140" s="34">
        <v>104</v>
      </c>
      <c r="Y140" s="41">
        <v>0</v>
      </c>
    </row>
    <row r="141" spans="1:25" x14ac:dyDescent="0.25">
      <c r="A141" s="31">
        <v>3</v>
      </c>
      <c r="B141" s="32">
        <v>7500</v>
      </c>
      <c r="C141" s="34">
        <v>32450</v>
      </c>
      <c r="D141" s="34">
        <v>26191</v>
      </c>
      <c r="E141" s="34">
        <v>20150</v>
      </c>
      <c r="F141" s="34">
        <v>14817</v>
      </c>
      <c r="G141" s="34">
        <v>12357</v>
      </c>
      <c r="H141" s="34">
        <v>10509</v>
      </c>
      <c r="I141" s="34">
        <v>8486</v>
      </c>
      <c r="J141" s="34">
        <v>6885</v>
      </c>
      <c r="K141" s="34">
        <v>5646</v>
      </c>
      <c r="L141" s="34">
        <v>4685</v>
      </c>
      <c r="M141" s="34">
        <v>3850</v>
      </c>
      <c r="N141" s="34">
        <v>3328</v>
      </c>
      <c r="O141" s="34">
        <v>3008</v>
      </c>
      <c r="P141" s="34">
        <v>2644</v>
      </c>
      <c r="Q141" s="34">
        <v>2326</v>
      </c>
      <c r="R141" s="34">
        <v>2034</v>
      </c>
      <c r="S141" s="34">
        <v>1775</v>
      </c>
      <c r="T141" s="34">
        <v>1531</v>
      </c>
      <c r="U141" s="34">
        <v>1067</v>
      </c>
      <c r="V141" s="34">
        <v>574</v>
      </c>
      <c r="W141" s="34">
        <v>239</v>
      </c>
      <c r="X141" s="40">
        <v>112</v>
      </c>
      <c r="Y141" s="39">
        <v>0</v>
      </c>
    </row>
    <row r="142" spans="1:25" x14ac:dyDescent="0.25">
      <c r="A142" s="31">
        <v>3</v>
      </c>
      <c r="B142" s="32">
        <v>8000</v>
      </c>
      <c r="C142" s="34">
        <v>33419</v>
      </c>
      <c r="D142" s="34">
        <v>26895</v>
      </c>
      <c r="E142" s="34">
        <v>20708</v>
      </c>
      <c r="F142" s="34">
        <v>15335</v>
      </c>
      <c r="G142" s="34">
        <v>12944</v>
      </c>
      <c r="H142" s="34">
        <v>10989</v>
      </c>
      <c r="I142" s="34">
        <v>8752</v>
      </c>
      <c r="J142" s="34">
        <v>6939</v>
      </c>
      <c r="K142" s="34">
        <v>5798</v>
      </c>
      <c r="L142" s="34">
        <v>4902</v>
      </c>
      <c r="M142" s="34">
        <v>3882</v>
      </c>
      <c r="N142" s="34">
        <v>3428</v>
      </c>
      <c r="O142" s="34">
        <v>3160</v>
      </c>
      <c r="P142" s="34">
        <v>2801</v>
      </c>
      <c r="Q142" s="34">
        <v>2418</v>
      </c>
      <c r="R142" s="34">
        <v>2105</v>
      </c>
      <c r="S142" s="34">
        <v>1838</v>
      </c>
      <c r="T142" s="34">
        <v>1597</v>
      </c>
      <c r="U142" s="34">
        <v>1129</v>
      </c>
      <c r="V142" s="34">
        <v>605</v>
      </c>
      <c r="W142" s="34">
        <v>253</v>
      </c>
      <c r="X142" s="33">
        <v>119</v>
      </c>
      <c r="Y142" s="39">
        <v>0</v>
      </c>
    </row>
    <row r="143" spans="1:25" x14ac:dyDescent="0.25">
      <c r="A143" s="40"/>
      <c r="B143" s="32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32"/>
    </row>
    <row r="144" spans="1:25" x14ac:dyDescent="0.25">
      <c r="A144" s="31">
        <v>5</v>
      </c>
      <c r="B144" s="32">
        <v>0</v>
      </c>
      <c r="C144" s="34">
        <v>6044</v>
      </c>
      <c r="D144" s="34">
        <v>5513</v>
      </c>
      <c r="E144" s="34">
        <v>4986</v>
      </c>
      <c r="F144" s="34">
        <v>4500</v>
      </c>
      <c r="G144" s="34">
        <v>4239</v>
      </c>
      <c r="H144" s="34">
        <v>3976</v>
      </c>
      <c r="I144" s="34">
        <v>3666</v>
      </c>
      <c r="J144" s="34">
        <v>3277</v>
      </c>
      <c r="K144" s="34">
        <v>2677</v>
      </c>
      <c r="L144" s="34">
        <v>2242</v>
      </c>
      <c r="M144" s="34">
        <v>1808</v>
      </c>
      <c r="N144" s="34">
        <v>1417</v>
      </c>
      <c r="O144" s="34">
        <v>1154</v>
      </c>
      <c r="P144" s="34">
        <v>944</v>
      </c>
      <c r="Q144" s="34">
        <v>795</v>
      </c>
      <c r="R144" s="34">
        <v>694</v>
      </c>
      <c r="S144" s="34">
        <v>619</v>
      </c>
      <c r="T144" s="34">
        <v>561</v>
      </c>
      <c r="U144" s="34">
        <v>456</v>
      </c>
      <c r="V144" s="34">
        <v>366</v>
      </c>
      <c r="W144" s="40">
        <v>257</v>
      </c>
      <c r="X144" s="40">
        <v>191</v>
      </c>
      <c r="Y144" s="41">
        <v>0</v>
      </c>
    </row>
    <row r="145" spans="1:25" x14ac:dyDescent="0.25">
      <c r="A145" s="31">
        <v>5</v>
      </c>
      <c r="B145" s="32">
        <v>50</v>
      </c>
      <c r="C145" s="34">
        <v>6547</v>
      </c>
      <c r="D145" s="34">
        <v>6028</v>
      </c>
      <c r="E145" s="34">
        <v>5573</v>
      </c>
      <c r="F145" s="34">
        <v>5138</v>
      </c>
      <c r="G145" s="34">
        <v>4921</v>
      </c>
      <c r="H145" s="34">
        <v>4675</v>
      </c>
      <c r="I145" s="34">
        <v>4407</v>
      </c>
      <c r="J145" s="34">
        <v>4046</v>
      </c>
      <c r="K145" s="34">
        <v>3467</v>
      </c>
      <c r="L145" s="34">
        <v>3055</v>
      </c>
      <c r="M145" s="34">
        <v>2662</v>
      </c>
      <c r="N145" s="34">
        <v>2309</v>
      </c>
      <c r="O145" s="34">
        <v>2065</v>
      </c>
      <c r="P145" s="34">
        <v>1869</v>
      </c>
      <c r="Q145" s="34">
        <v>1715</v>
      </c>
      <c r="R145" s="34">
        <v>1595</v>
      </c>
      <c r="S145" s="34">
        <v>1493</v>
      </c>
      <c r="T145" s="34">
        <v>1387</v>
      </c>
      <c r="U145" s="34">
        <v>1330</v>
      </c>
      <c r="V145" s="34">
        <v>1160</v>
      </c>
      <c r="W145" s="40">
        <v>608</v>
      </c>
      <c r="X145" s="40">
        <v>385</v>
      </c>
      <c r="Y145" s="32">
        <v>0</v>
      </c>
    </row>
    <row r="146" spans="1:25" x14ac:dyDescent="0.25">
      <c r="A146" s="31">
        <v>5</v>
      </c>
      <c r="B146" s="32">
        <v>100</v>
      </c>
      <c r="C146" s="34">
        <v>7615</v>
      </c>
      <c r="D146" s="34">
        <v>6922</v>
      </c>
      <c r="E146" s="34">
        <v>6388</v>
      </c>
      <c r="F146" s="34">
        <v>6040</v>
      </c>
      <c r="G146" s="34">
        <v>5888</v>
      </c>
      <c r="H146" s="34">
        <v>5703</v>
      </c>
      <c r="I146" s="34">
        <v>5517</v>
      </c>
      <c r="J146" s="34">
        <v>5192</v>
      </c>
      <c r="K146" s="34">
        <v>4529</v>
      </c>
      <c r="L146" s="34">
        <v>3997</v>
      </c>
      <c r="M146" s="34">
        <v>3709</v>
      </c>
      <c r="N146" s="34">
        <v>3524</v>
      </c>
      <c r="O146" s="34">
        <v>3374</v>
      </c>
      <c r="P146" s="34">
        <v>3240</v>
      </c>
      <c r="Q146" s="34">
        <v>3148</v>
      </c>
      <c r="R146" s="34">
        <v>3053</v>
      </c>
      <c r="S146" s="34">
        <v>3000</v>
      </c>
      <c r="T146" s="34">
        <v>2837</v>
      </c>
      <c r="U146" s="34">
        <v>2575</v>
      </c>
      <c r="V146" s="40">
        <v>2202</v>
      </c>
      <c r="W146" s="40">
        <v>1460</v>
      </c>
      <c r="X146" s="40">
        <v>753</v>
      </c>
      <c r="Y146" s="32">
        <v>0</v>
      </c>
    </row>
    <row r="147" spans="1:25" x14ac:dyDescent="0.25">
      <c r="A147" s="31">
        <v>5</v>
      </c>
      <c r="B147" s="32">
        <v>300</v>
      </c>
      <c r="C147" s="34">
        <v>8492</v>
      </c>
      <c r="D147" s="34">
        <v>7453</v>
      </c>
      <c r="E147" s="34">
        <v>6937</v>
      </c>
      <c r="F147" s="34">
        <v>6709</v>
      </c>
      <c r="G147" s="34">
        <v>6623</v>
      </c>
      <c r="H147" s="34">
        <v>6510</v>
      </c>
      <c r="I147" s="34">
        <v>6401</v>
      </c>
      <c r="J147" s="34">
        <v>6207</v>
      </c>
      <c r="K147" s="34">
        <v>5915</v>
      </c>
      <c r="L147" s="34">
        <v>5395</v>
      </c>
      <c r="M147" s="34">
        <v>4980</v>
      </c>
      <c r="N147" s="34">
        <v>4709</v>
      </c>
      <c r="O147" s="34">
        <v>4502</v>
      </c>
      <c r="P147" s="34">
        <v>4302</v>
      </c>
      <c r="Q147" s="34">
        <v>3938</v>
      </c>
      <c r="R147" s="34">
        <v>3662</v>
      </c>
      <c r="S147" s="34">
        <v>3502</v>
      </c>
      <c r="T147" s="34">
        <v>3255</v>
      </c>
      <c r="U147" s="40">
        <v>2890</v>
      </c>
      <c r="V147" s="40">
        <v>2511</v>
      </c>
      <c r="W147" s="40">
        <v>1670</v>
      </c>
      <c r="X147" s="40">
        <v>989</v>
      </c>
      <c r="Y147" s="32">
        <v>0</v>
      </c>
    </row>
    <row r="148" spans="1:25" x14ac:dyDescent="0.25">
      <c r="A148" s="31">
        <v>5</v>
      </c>
      <c r="B148" s="32">
        <v>500</v>
      </c>
      <c r="C148" s="34">
        <v>9226</v>
      </c>
      <c r="D148" s="34">
        <v>7886</v>
      </c>
      <c r="E148" s="34">
        <v>7222</v>
      </c>
      <c r="F148" s="34">
        <v>6839</v>
      </c>
      <c r="G148" s="34">
        <v>6746</v>
      </c>
      <c r="H148" s="34">
        <v>6655</v>
      </c>
      <c r="I148" s="34">
        <v>6577</v>
      </c>
      <c r="J148" s="34">
        <v>6460</v>
      </c>
      <c r="K148" s="34">
        <v>6113</v>
      </c>
      <c r="L148" s="34">
        <v>5594</v>
      </c>
      <c r="M148" s="34">
        <v>5196</v>
      </c>
      <c r="N148" s="34">
        <v>4866</v>
      </c>
      <c r="O148" s="34">
        <v>4637</v>
      </c>
      <c r="P148" s="34">
        <v>4339</v>
      </c>
      <c r="Q148" s="34">
        <v>4140</v>
      </c>
      <c r="R148" s="34">
        <v>3882</v>
      </c>
      <c r="S148" s="34">
        <v>3686</v>
      </c>
      <c r="T148" s="40">
        <v>3517</v>
      </c>
      <c r="U148" s="40">
        <v>3085</v>
      </c>
      <c r="V148" s="40">
        <v>2490</v>
      </c>
      <c r="W148" s="40">
        <v>1880</v>
      </c>
      <c r="X148" s="42">
        <v>1104</v>
      </c>
      <c r="Y148" s="43">
        <v>0</v>
      </c>
    </row>
    <row r="149" spans="1:25" x14ac:dyDescent="0.25">
      <c r="A149" s="31">
        <v>5</v>
      </c>
      <c r="B149" s="32">
        <v>750</v>
      </c>
      <c r="C149" s="34">
        <v>10677</v>
      </c>
      <c r="D149" s="34">
        <v>9042</v>
      </c>
      <c r="E149" s="34">
        <v>7794</v>
      </c>
      <c r="F149" s="34">
        <v>7085</v>
      </c>
      <c r="G149" s="34">
        <v>6908</v>
      </c>
      <c r="H149" s="34">
        <v>6789</v>
      </c>
      <c r="I149" s="34">
        <v>6666</v>
      </c>
      <c r="J149" s="34">
        <v>6491</v>
      </c>
      <c r="K149" s="34">
        <v>6126</v>
      </c>
      <c r="L149" s="34">
        <v>5749</v>
      </c>
      <c r="M149" s="34">
        <v>5213</v>
      </c>
      <c r="N149" s="34">
        <v>4906</v>
      </c>
      <c r="O149" s="40">
        <v>4675</v>
      </c>
      <c r="P149" s="40">
        <v>4350</v>
      </c>
      <c r="Q149" s="40">
        <v>4160</v>
      </c>
      <c r="R149" s="40">
        <v>3851</v>
      </c>
      <c r="S149" s="40">
        <v>3574</v>
      </c>
      <c r="T149" s="40">
        <v>3330</v>
      </c>
      <c r="U149" s="40">
        <v>2760</v>
      </c>
      <c r="V149" s="40">
        <v>2380</v>
      </c>
      <c r="W149" s="42">
        <v>1519</v>
      </c>
      <c r="X149" s="42">
        <v>814</v>
      </c>
      <c r="Y149" s="43">
        <v>0</v>
      </c>
    </row>
    <row r="150" spans="1:25" x14ac:dyDescent="0.25">
      <c r="A150" s="31">
        <v>5</v>
      </c>
      <c r="B150" s="32">
        <v>1000</v>
      </c>
      <c r="C150" s="34">
        <v>12213</v>
      </c>
      <c r="D150" s="34">
        <v>10204</v>
      </c>
      <c r="E150" s="34">
        <v>8466</v>
      </c>
      <c r="F150" s="34">
        <v>7447</v>
      </c>
      <c r="G150" s="34">
        <v>7095</v>
      </c>
      <c r="H150" s="34">
        <v>6989</v>
      </c>
      <c r="I150" s="40">
        <v>6834</v>
      </c>
      <c r="J150" s="40">
        <v>6568</v>
      </c>
      <c r="K150" s="40">
        <v>6028</v>
      </c>
      <c r="L150" s="40">
        <v>5726</v>
      </c>
      <c r="M150" s="40">
        <v>5182</v>
      </c>
      <c r="N150" s="40">
        <v>4796</v>
      </c>
      <c r="O150" s="40">
        <v>4545</v>
      </c>
      <c r="P150" s="40">
        <v>4194</v>
      </c>
      <c r="Q150" s="40">
        <v>3883</v>
      </c>
      <c r="R150" s="40">
        <v>3496</v>
      </c>
      <c r="S150" s="40">
        <v>3281</v>
      </c>
      <c r="T150" s="40">
        <v>2974</v>
      </c>
      <c r="U150" s="42">
        <v>2476</v>
      </c>
      <c r="V150" s="42">
        <v>1683</v>
      </c>
      <c r="W150" s="42">
        <v>690</v>
      </c>
      <c r="X150" s="42">
        <v>379</v>
      </c>
      <c r="Y150" s="32">
        <v>0</v>
      </c>
    </row>
    <row r="151" spans="1:25" x14ac:dyDescent="0.25">
      <c r="A151" s="31">
        <v>5</v>
      </c>
      <c r="B151" s="32">
        <v>1500</v>
      </c>
      <c r="C151" s="34">
        <v>14030</v>
      </c>
      <c r="D151" s="34">
        <v>11668</v>
      </c>
      <c r="E151" s="34">
        <v>9617</v>
      </c>
      <c r="F151" s="34">
        <v>8115</v>
      </c>
      <c r="G151" s="34">
        <v>7597</v>
      </c>
      <c r="H151" s="40">
        <v>7296</v>
      </c>
      <c r="I151" s="40">
        <v>7024</v>
      </c>
      <c r="J151" s="40">
        <v>6470</v>
      </c>
      <c r="K151" s="40">
        <v>5710</v>
      </c>
      <c r="L151" s="40">
        <v>5375</v>
      </c>
      <c r="M151" s="40">
        <v>4875</v>
      </c>
      <c r="N151" s="40">
        <v>4438</v>
      </c>
      <c r="O151" s="40">
        <v>4167</v>
      </c>
      <c r="P151" s="40">
        <v>3795</v>
      </c>
      <c r="Q151" s="40">
        <v>3357</v>
      </c>
      <c r="R151" s="40">
        <v>2941</v>
      </c>
      <c r="S151" s="40">
        <v>2531</v>
      </c>
      <c r="T151" s="42">
        <v>2290</v>
      </c>
      <c r="U151" s="42">
        <v>914</v>
      </c>
      <c r="V151" s="42">
        <v>592</v>
      </c>
      <c r="W151" s="40">
        <v>393</v>
      </c>
      <c r="X151" s="40">
        <v>200</v>
      </c>
      <c r="Y151" s="41">
        <v>0</v>
      </c>
    </row>
    <row r="152" spans="1:25" x14ac:dyDescent="0.25">
      <c r="A152" s="31">
        <v>5</v>
      </c>
      <c r="B152" s="32">
        <v>2000</v>
      </c>
      <c r="C152" s="34">
        <v>15633</v>
      </c>
      <c r="D152" s="34">
        <v>12936</v>
      </c>
      <c r="E152" s="34">
        <v>10401</v>
      </c>
      <c r="F152" s="34">
        <v>8530</v>
      </c>
      <c r="G152" s="34">
        <v>7889</v>
      </c>
      <c r="H152" s="40">
        <v>7408</v>
      </c>
      <c r="I152" s="40">
        <v>6946</v>
      </c>
      <c r="J152" s="40">
        <v>6107</v>
      </c>
      <c r="K152" s="40">
        <v>5170</v>
      </c>
      <c r="L152" s="40">
        <v>4836</v>
      </c>
      <c r="M152" s="40">
        <v>4340</v>
      </c>
      <c r="N152" s="40">
        <v>3913</v>
      </c>
      <c r="O152" s="40">
        <v>3599</v>
      </c>
      <c r="P152" s="40">
        <v>3257</v>
      </c>
      <c r="Q152" s="40">
        <v>2909</v>
      </c>
      <c r="R152" s="42">
        <v>2412</v>
      </c>
      <c r="S152" s="42">
        <v>1979</v>
      </c>
      <c r="T152" s="42">
        <v>1182</v>
      </c>
      <c r="U152" s="42">
        <v>638</v>
      </c>
      <c r="V152" s="40">
        <v>354</v>
      </c>
      <c r="W152" s="34">
        <v>188</v>
      </c>
      <c r="X152" s="34">
        <v>130</v>
      </c>
      <c r="Y152" s="41">
        <v>0</v>
      </c>
    </row>
    <row r="153" spans="1:25" x14ac:dyDescent="0.25">
      <c r="A153" s="31">
        <v>5</v>
      </c>
      <c r="B153" s="32">
        <v>2500</v>
      </c>
      <c r="C153" s="34">
        <v>17335</v>
      </c>
      <c r="D153" s="34">
        <v>14268</v>
      </c>
      <c r="E153" s="34">
        <v>11308</v>
      </c>
      <c r="F153" s="40">
        <v>8887</v>
      </c>
      <c r="G153" s="40">
        <v>7972</v>
      </c>
      <c r="H153" s="40">
        <v>7432</v>
      </c>
      <c r="I153" s="40">
        <v>6712</v>
      </c>
      <c r="J153" s="40">
        <v>5661</v>
      </c>
      <c r="K153" s="40">
        <v>4880</v>
      </c>
      <c r="L153" s="40">
        <v>4445</v>
      </c>
      <c r="M153" s="40">
        <v>4017</v>
      </c>
      <c r="N153" s="40">
        <v>3662</v>
      </c>
      <c r="O153" s="40">
        <v>3295</v>
      </c>
      <c r="P153" s="40">
        <v>2876</v>
      </c>
      <c r="Q153" s="42">
        <v>2689</v>
      </c>
      <c r="R153" s="42">
        <v>1915</v>
      </c>
      <c r="S153" s="42">
        <v>955</v>
      </c>
      <c r="T153" s="42">
        <v>651</v>
      </c>
      <c r="U153" s="40">
        <v>447</v>
      </c>
      <c r="V153" s="40">
        <v>195</v>
      </c>
      <c r="W153" s="34">
        <v>99</v>
      </c>
      <c r="X153" s="34">
        <v>51</v>
      </c>
      <c r="Y153" s="41">
        <v>0</v>
      </c>
    </row>
    <row r="154" spans="1:25" x14ac:dyDescent="0.25">
      <c r="A154" s="31">
        <v>5</v>
      </c>
      <c r="B154" s="32">
        <v>3000</v>
      </c>
      <c r="C154" s="34">
        <v>18794</v>
      </c>
      <c r="D154" s="34">
        <v>15433</v>
      </c>
      <c r="E154" s="34">
        <v>12150</v>
      </c>
      <c r="F154" s="40">
        <v>9231</v>
      </c>
      <c r="G154" s="40">
        <v>8180</v>
      </c>
      <c r="H154" s="40">
        <v>7463</v>
      </c>
      <c r="I154" s="40">
        <v>6490</v>
      </c>
      <c r="J154" s="40">
        <v>5427</v>
      </c>
      <c r="K154" s="40">
        <v>4718</v>
      </c>
      <c r="L154" s="40">
        <v>4265</v>
      </c>
      <c r="M154" s="40">
        <v>3857</v>
      </c>
      <c r="N154" s="40">
        <v>3476</v>
      </c>
      <c r="O154" s="40">
        <v>3104</v>
      </c>
      <c r="P154" s="40">
        <v>2578</v>
      </c>
      <c r="Q154" s="42">
        <v>2283</v>
      </c>
      <c r="R154" s="42">
        <v>1429</v>
      </c>
      <c r="S154" s="42">
        <v>708</v>
      </c>
      <c r="T154" s="40">
        <v>533</v>
      </c>
      <c r="U154" s="40">
        <v>405</v>
      </c>
      <c r="V154" s="40">
        <v>179</v>
      </c>
      <c r="W154" s="34">
        <v>73</v>
      </c>
      <c r="X154" s="34">
        <v>41</v>
      </c>
      <c r="Y154" s="41">
        <v>0</v>
      </c>
    </row>
    <row r="155" spans="1:25" x14ac:dyDescent="0.25">
      <c r="A155" s="31">
        <v>5</v>
      </c>
      <c r="B155" s="32">
        <v>3500</v>
      </c>
      <c r="C155" s="34">
        <v>19936</v>
      </c>
      <c r="D155" s="34">
        <v>16374</v>
      </c>
      <c r="E155" s="34">
        <v>12894</v>
      </c>
      <c r="F155" s="34">
        <v>9768</v>
      </c>
      <c r="G155" s="34">
        <v>8306</v>
      </c>
      <c r="H155" s="40">
        <v>7477</v>
      </c>
      <c r="I155" s="40">
        <v>6368</v>
      </c>
      <c r="J155" s="40">
        <v>5026</v>
      </c>
      <c r="K155" s="40">
        <v>4484</v>
      </c>
      <c r="L155" s="40">
        <v>3984</v>
      </c>
      <c r="M155" s="40">
        <v>3644</v>
      </c>
      <c r="N155" s="40">
        <v>3312</v>
      </c>
      <c r="O155" s="40">
        <v>2932</v>
      </c>
      <c r="P155" s="40">
        <v>2394</v>
      </c>
      <c r="Q155" s="40">
        <v>1781</v>
      </c>
      <c r="R155" s="40">
        <v>1164</v>
      </c>
      <c r="S155" s="40">
        <v>910</v>
      </c>
      <c r="T155" s="40">
        <v>706</v>
      </c>
      <c r="U155" s="40">
        <v>513</v>
      </c>
      <c r="V155" s="40">
        <v>290</v>
      </c>
      <c r="W155" s="34">
        <v>103</v>
      </c>
      <c r="X155" s="34">
        <v>42</v>
      </c>
      <c r="Y155" s="41">
        <v>0</v>
      </c>
    </row>
    <row r="156" spans="1:25" x14ac:dyDescent="0.25">
      <c r="A156" s="31">
        <v>5</v>
      </c>
      <c r="B156" s="32">
        <v>4000</v>
      </c>
      <c r="C156" s="34">
        <v>20949</v>
      </c>
      <c r="D156" s="34">
        <v>17217</v>
      </c>
      <c r="E156" s="34">
        <v>13569</v>
      </c>
      <c r="F156" s="34">
        <v>9991</v>
      </c>
      <c r="G156" s="34">
        <v>8683</v>
      </c>
      <c r="H156" s="40">
        <v>7658</v>
      </c>
      <c r="I156" s="40">
        <v>6295</v>
      </c>
      <c r="J156" s="40">
        <v>4783</v>
      </c>
      <c r="K156" s="40">
        <v>4200</v>
      </c>
      <c r="L156" s="40">
        <v>3584</v>
      </c>
      <c r="M156" s="40">
        <v>3367</v>
      </c>
      <c r="N156" s="40">
        <v>3140</v>
      </c>
      <c r="O156" s="40">
        <v>2745</v>
      </c>
      <c r="P156" s="40">
        <v>2274</v>
      </c>
      <c r="Q156" s="40">
        <v>1402</v>
      </c>
      <c r="R156" s="40">
        <v>1188</v>
      </c>
      <c r="S156" s="40">
        <v>1060</v>
      </c>
      <c r="T156" s="34">
        <v>922</v>
      </c>
      <c r="U156" s="34">
        <v>593</v>
      </c>
      <c r="V156" s="34">
        <v>320</v>
      </c>
      <c r="W156" s="34">
        <v>111</v>
      </c>
      <c r="X156" s="34">
        <v>44</v>
      </c>
      <c r="Y156" s="41">
        <v>0</v>
      </c>
    </row>
    <row r="157" spans="1:25" x14ac:dyDescent="0.25">
      <c r="A157" s="31">
        <v>5</v>
      </c>
      <c r="B157" s="32">
        <v>4500</v>
      </c>
      <c r="C157" s="34">
        <v>21962</v>
      </c>
      <c r="D157" s="34">
        <v>18016</v>
      </c>
      <c r="E157" s="34">
        <v>14114</v>
      </c>
      <c r="F157" s="34">
        <v>10137</v>
      </c>
      <c r="G157" s="34">
        <v>9063</v>
      </c>
      <c r="H157" s="34">
        <v>7837</v>
      </c>
      <c r="I157" s="40">
        <v>6323</v>
      </c>
      <c r="J157" s="40">
        <v>4905</v>
      </c>
      <c r="K157" s="40">
        <v>4130</v>
      </c>
      <c r="L157" s="40">
        <v>3522</v>
      </c>
      <c r="M157" s="40">
        <v>3305</v>
      </c>
      <c r="N157" s="40">
        <v>3023</v>
      </c>
      <c r="O157" s="40">
        <v>2672</v>
      </c>
      <c r="P157" s="40">
        <v>2065</v>
      </c>
      <c r="Q157" s="40">
        <v>1424</v>
      </c>
      <c r="R157" s="40">
        <v>1245</v>
      </c>
      <c r="S157" s="34">
        <v>1128</v>
      </c>
      <c r="T157" s="34">
        <v>1046</v>
      </c>
      <c r="U157" s="34">
        <v>649</v>
      </c>
      <c r="V157" s="34">
        <v>346</v>
      </c>
      <c r="W157" s="34">
        <v>117</v>
      </c>
      <c r="X157" s="34">
        <v>46</v>
      </c>
      <c r="Y157" s="41">
        <v>0</v>
      </c>
    </row>
    <row r="158" spans="1:25" x14ac:dyDescent="0.25">
      <c r="A158" s="31">
        <v>5</v>
      </c>
      <c r="B158" s="32">
        <v>5000</v>
      </c>
      <c r="C158" s="34">
        <v>22867</v>
      </c>
      <c r="D158" s="34">
        <v>18766</v>
      </c>
      <c r="E158" s="34">
        <v>14525</v>
      </c>
      <c r="F158" s="34">
        <v>10880</v>
      </c>
      <c r="G158" s="34">
        <v>9540</v>
      </c>
      <c r="H158" s="34">
        <v>8183</v>
      </c>
      <c r="I158" s="34">
        <v>6486</v>
      </c>
      <c r="J158" s="40">
        <v>5030</v>
      </c>
      <c r="K158" s="40">
        <v>4103</v>
      </c>
      <c r="L158" s="40">
        <v>3487</v>
      </c>
      <c r="M158" s="40">
        <v>3287</v>
      </c>
      <c r="N158" s="40">
        <v>3017</v>
      </c>
      <c r="O158" s="40">
        <v>2684</v>
      </c>
      <c r="P158" s="40">
        <v>2024</v>
      </c>
      <c r="Q158" s="40">
        <v>1455</v>
      </c>
      <c r="R158" s="40">
        <v>1329</v>
      </c>
      <c r="S158" s="34">
        <v>1224</v>
      </c>
      <c r="T158" s="34">
        <v>1112</v>
      </c>
      <c r="U158" s="34">
        <v>695</v>
      </c>
      <c r="V158" s="34">
        <v>362</v>
      </c>
      <c r="W158" s="34">
        <v>124</v>
      </c>
      <c r="X158" s="34">
        <v>51</v>
      </c>
      <c r="Y158" s="41">
        <v>0</v>
      </c>
    </row>
    <row r="159" spans="1:25" x14ac:dyDescent="0.25">
      <c r="A159" s="31">
        <v>5</v>
      </c>
      <c r="B159" s="32">
        <v>5500</v>
      </c>
      <c r="C159" s="34">
        <v>23661</v>
      </c>
      <c r="D159" s="34">
        <v>19456</v>
      </c>
      <c r="E159" s="34">
        <v>15309</v>
      </c>
      <c r="F159" s="34">
        <v>11569</v>
      </c>
      <c r="G159" s="34">
        <v>10048</v>
      </c>
      <c r="H159" s="34">
        <v>8548</v>
      </c>
      <c r="I159" s="34">
        <v>6741</v>
      </c>
      <c r="J159" s="40">
        <v>5245</v>
      </c>
      <c r="K159" s="40">
        <v>4051</v>
      </c>
      <c r="L159" s="40">
        <v>3480</v>
      </c>
      <c r="M159" s="40">
        <v>3299</v>
      </c>
      <c r="N159" s="40">
        <v>3060</v>
      </c>
      <c r="O159" s="40">
        <v>2672</v>
      </c>
      <c r="P159" s="40">
        <v>2047</v>
      </c>
      <c r="Q159" s="40">
        <v>1628</v>
      </c>
      <c r="R159" s="34">
        <v>1480</v>
      </c>
      <c r="S159" s="34">
        <v>1351</v>
      </c>
      <c r="T159" s="34">
        <v>1176</v>
      </c>
      <c r="U159" s="34">
        <v>743</v>
      </c>
      <c r="V159" s="34">
        <v>379</v>
      </c>
      <c r="W159" s="34">
        <v>135</v>
      </c>
      <c r="X159" s="34">
        <v>57</v>
      </c>
      <c r="Y159" s="41">
        <v>0</v>
      </c>
    </row>
    <row r="160" spans="1:25" x14ac:dyDescent="0.25">
      <c r="A160" s="31">
        <v>5</v>
      </c>
      <c r="B160" s="32">
        <v>6000</v>
      </c>
      <c r="C160" s="34">
        <v>24391</v>
      </c>
      <c r="D160" s="34">
        <v>20103</v>
      </c>
      <c r="E160" s="34">
        <v>15958</v>
      </c>
      <c r="F160" s="34">
        <v>12239</v>
      </c>
      <c r="G160" s="34">
        <v>10650</v>
      </c>
      <c r="H160" s="34">
        <v>8921</v>
      </c>
      <c r="I160" s="34">
        <v>7328</v>
      </c>
      <c r="J160" s="40">
        <v>5430</v>
      </c>
      <c r="K160" s="40">
        <v>4008</v>
      </c>
      <c r="L160" s="34">
        <v>3507</v>
      </c>
      <c r="M160" s="34">
        <v>3314</v>
      </c>
      <c r="N160" s="40">
        <v>3079</v>
      </c>
      <c r="O160" s="40">
        <v>2696</v>
      </c>
      <c r="P160" s="40">
        <v>2057</v>
      </c>
      <c r="Q160" s="34">
        <v>1747</v>
      </c>
      <c r="R160" s="34">
        <v>1598</v>
      </c>
      <c r="S160" s="34">
        <v>1449</v>
      </c>
      <c r="T160" s="34">
        <v>1240</v>
      </c>
      <c r="U160" s="34">
        <v>793</v>
      </c>
      <c r="V160" s="34">
        <v>405</v>
      </c>
      <c r="W160" s="34">
        <v>152</v>
      </c>
      <c r="X160" s="34">
        <v>67</v>
      </c>
      <c r="Y160" s="41">
        <v>0</v>
      </c>
    </row>
    <row r="161" spans="1:25" x14ac:dyDescent="0.25">
      <c r="A161" s="31">
        <v>5</v>
      </c>
      <c r="B161" s="32">
        <v>6500</v>
      </c>
      <c r="C161" s="34">
        <v>25098</v>
      </c>
      <c r="D161" s="34">
        <v>20718</v>
      </c>
      <c r="E161" s="34">
        <v>16511</v>
      </c>
      <c r="F161" s="34">
        <v>12734</v>
      </c>
      <c r="G161" s="34">
        <v>10892</v>
      </c>
      <c r="H161" s="34">
        <v>9511</v>
      </c>
      <c r="I161" s="34">
        <v>7643</v>
      </c>
      <c r="J161" s="40">
        <v>5637</v>
      </c>
      <c r="K161" s="40">
        <v>4183</v>
      </c>
      <c r="L161" s="40">
        <v>3523</v>
      </c>
      <c r="M161" s="34">
        <v>3357</v>
      </c>
      <c r="N161" s="40">
        <v>3128</v>
      </c>
      <c r="O161" s="40">
        <v>2771</v>
      </c>
      <c r="P161" s="34">
        <v>2258</v>
      </c>
      <c r="Q161" s="34">
        <v>1947</v>
      </c>
      <c r="R161" s="34">
        <v>1783</v>
      </c>
      <c r="S161" s="34">
        <v>1549</v>
      </c>
      <c r="T161" s="34">
        <v>1314</v>
      </c>
      <c r="U161" s="34">
        <v>855</v>
      </c>
      <c r="V161" s="34">
        <v>437</v>
      </c>
      <c r="W161" s="34">
        <v>172</v>
      </c>
      <c r="X161" s="34">
        <v>78</v>
      </c>
      <c r="Y161" s="41">
        <v>0</v>
      </c>
    </row>
    <row r="162" spans="1:25" x14ac:dyDescent="0.25">
      <c r="A162" s="31">
        <v>5</v>
      </c>
      <c r="B162" s="32">
        <v>7000</v>
      </c>
      <c r="C162" s="34">
        <v>25860</v>
      </c>
      <c r="D162" s="34">
        <v>21312</v>
      </c>
      <c r="E162" s="34">
        <v>16907</v>
      </c>
      <c r="F162" s="34">
        <v>13189</v>
      </c>
      <c r="G162" s="40">
        <v>11608</v>
      </c>
      <c r="H162" s="40">
        <v>9908</v>
      </c>
      <c r="I162" s="40">
        <v>7949</v>
      </c>
      <c r="J162" s="34">
        <v>5781</v>
      </c>
      <c r="K162" s="40">
        <v>4373</v>
      </c>
      <c r="L162" s="40">
        <v>3553</v>
      </c>
      <c r="M162" s="34">
        <v>3386</v>
      </c>
      <c r="N162" s="40">
        <v>3182</v>
      </c>
      <c r="O162" s="40">
        <v>2857</v>
      </c>
      <c r="P162" s="34">
        <v>2430</v>
      </c>
      <c r="Q162" s="34">
        <v>2136</v>
      </c>
      <c r="R162" s="34">
        <v>1893</v>
      </c>
      <c r="S162" s="34">
        <v>1639</v>
      </c>
      <c r="T162" s="34">
        <v>1396</v>
      </c>
      <c r="U162" s="34">
        <v>926</v>
      </c>
      <c r="V162" s="34">
        <v>482</v>
      </c>
      <c r="W162" s="34">
        <v>197</v>
      </c>
      <c r="X162" s="34">
        <v>91</v>
      </c>
      <c r="Y162" s="41">
        <v>0</v>
      </c>
    </row>
    <row r="163" spans="1:25" x14ac:dyDescent="0.25">
      <c r="A163" s="31">
        <v>5</v>
      </c>
      <c r="B163" s="32">
        <v>7500</v>
      </c>
      <c r="C163" s="34">
        <v>26597</v>
      </c>
      <c r="D163" s="34">
        <v>21982</v>
      </c>
      <c r="E163" s="34">
        <v>17360</v>
      </c>
      <c r="F163" s="34">
        <v>13563</v>
      </c>
      <c r="G163" s="40">
        <v>11914</v>
      </c>
      <c r="H163" s="40">
        <v>10298</v>
      </c>
      <c r="I163" s="40">
        <v>8281</v>
      </c>
      <c r="J163" s="34">
        <v>6006</v>
      </c>
      <c r="K163" s="34">
        <v>4572</v>
      </c>
      <c r="L163" s="34">
        <v>3786</v>
      </c>
      <c r="M163" s="34">
        <v>3444</v>
      </c>
      <c r="N163" s="34">
        <v>3201</v>
      </c>
      <c r="O163" s="34">
        <v>2944</v>
      </c>
      <c r="P163" s="34">
        <v>2603</v>
      </c>
      <c r="Q163" s="34">
        <v>2250</v>
      </c>
      <c r="R163" s="34">
        <v>1988</v>
      </c>
      <c r="S163" s="34">
        <v>1716</v>
      </c>
      <c r="T163" s="34">
        <v>1466</v>
      </c>
      <c r="U163" s="34">
        <v>990</v>
      </c>
      <c r="V163" s="34">
        <v>512</v>
      </c>
      <c r="W163" s="34">
        <v>211</v>
      </c>
      <c r="X163" s="34">
        <v>98</v>
      </c>
      <c r="Y163" s="41">
        <v>0</v>
      </c>
    </row>
    <row r="164" spans="1:25" x14ac:dyDescent="0.25">
      <c r="A164" s="31">
        <v>5</v>
      </c>
      <c r="B164" s="32">
        <v>8000</v>
      </c>
      <c r="C164" s="34">
        <v>27254</v>
      </c>
      <c r="D164" s="34">
        <v>22428</v>
      </c>
      <c r="E164" s="34">
        <v>17865</v>
      </c>
      <c r="F164" s="34">
        <v>13912</v>
      </c>
      <c r="G164" s="34">
        <v>12316</v>
      </c>
      <c r="H164" s="34">
        <v>10851</v>
      </c>
      <c r="I164" s="34">
        <v>8676</v>
      </c>
      <c r="J164" s="34">
        <v>6217</v>
      </c>
      <c r="K164" s="34">
        <v>4805</v>
      </c>
      <c r="L164" s="34">
        <v>4010</v>
      </c>
      <c r="M164" s="34">
        <v>3629</v>
      </c>
      <c r="N164" s="34">
        <v>3362</v>
      </c>
      <c r="O164" s="34">
        <v>3178</v>
      </c>
      <c r="P164" s="34">
        <v>2817</v>
      </c>
      <c r="Q164" s="34">
        <v>2409</v>
      </c>
      <c r="R164" s="34">
        <v>2068</v>
      </c>
      <c r="S164" s="34">
        <v>1783</v>
      </c>
      <c r="T164" s="34">
        <v>1533</v>
      </c>
      <c r="U164" s="34">
        <v>1052</v>
      </c>
      <c r="V164" s="34">
        <v>543</v>
      </c>
      <c r="W164" s="34">
        <v>225</v>
      </c>
      <c r="X164" s="34">
        <v>105</v>
      </c>
      <c r="Y164" s="41">
        <v>0</v>
      </c>
    </row>
    <row r="165" spans="1:25" x14ac:dyDescent="0.25">
      <c r="A165" s="40"/>
      <c r="B165" s="32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32"/>
    </row>
    <row r="166" spans="1:25" x14ac:dyDescent="0.25">
      <c r="A166" s="31">
        <v>7</v>
      </c>
      <c r="B166" s="32">
        <v>0</v>
      </c>
      <c r="C166" s="34">
        <v>5445</v>
      </c>
      <c r="D166" s="34">
        <v>5059</v>
      </c>
      <c r="E166" s="34">
        <v>4676</v>
      </c>
      <c r="F166" s="34">
        <v>4323</v>
      </c>
      <c r="G166" s="34">
        <v>4139</v>
      </c>
      <c r="H166" s="34">
        <v>3937</v>
      </c>
      <c r="I166" s="34">
        <v>3677</v>
      </c>
      <c r="J166" s="34">
        <v>3322</v>
      </c>
      <c r="K166" s="34">
        <v>2696</v>
      </c>
      <c r="L166" s="34">
        <v>2256</v>
      </c>
      <c r="M166" s="34">
        <v>1848</v>
      </c>
      <c r="N166" s="34">
        <v>1479</v>
      </c>
      <c r="O166" s="34">
        <v>1243</v>
      </c>
      <c r="P166" s="34">
        <v>1036</v>
      </c>
      <c r="Q166" s="34">
        <v>891</v>
      </c>
      <c r="R166" s="34">
        <v>778</v>
      </c>
      <c r="S166" s="34">
        <v>692</v>
      </c>
      <c r="T166" s="34">
        <v>621</v>
      </c>
      <c r="U166" s="34">
        <v>525</v>
      </c>
      <c r="V166" s="34">
        <v>389</v>
      </c>
      <c r="W166" s="40">
        <v>267</v>
      </c>
      <c r="X166" s="40">
        <v>209</v>
      </c>
      <c r="Y166" s="32">
        <v>0</v>
      </c>
    </row>
    <row r="167" spans="1:25" x14ac:dyDescent="0.25">
      <c r="A167" s="31">
        <v>7</v>
      </c>
      <c r="B167" s="32">
        <v>50</v>
      </c>
      <c r="C167" s="34">
        <v>5919</v>
      </c>
      <c r="D167" s="34">
        <v>5536</v>
      </c>
      <c r="E167" s="34">
        <v>5191</v>
      </c>
      <c r="F167" s="34">
        <v>4863</v>
      </c>
      <c r="G167" s="34">
        <v>4698</v>
      </c>
      <c r="H167" s="34">
        <v>4520</v>
      </c>
      <c r="I167" s="34">
        <v>4306</v>
      </c>
      <c r="J167" s="34">
        <v>3998</v>
      </c>
      <c r="K167" s="34">
        <v>3399</v>
      </c>
      <c r="L167" s="34">
        <v>2986</v>
      </c>
      <c r="M167" s="34">
        <v>2624</v>
      </c>
      <c r="N167" s="34">
        <v>2264</v>
      </c>
      <c r="O167" s="34">
        <v>2042</v>
      </c>
      <c r="P167" s="34">
        <v>1859</v>
      </c>
      <c r="Q167" s="34">
        <v>1712</v>
      </c>
      <c r="R167" s="34">
        <v>1588</v>
      </c>
      <c r="S167" s="34">
        <v>1477</v>
      </c>
      <c r="T167" s="34">
        <v>1366</v>
      </c>
      <c r="U167" s="34">
        <v>1151</v>
      </c>
      <c r="V167" s="34">
        <v>1010</v>
      </c>
      <c r="W167" s="40">
        <v>473</v>
      </c>
      <c r="X167" s="40">
        <v>325</v>
      </c>
      <c r="Y167" s="32">
        <v>0</v>
      </c>
    </row>
    <row r="168" spans="1:25" x14ac:dyDescent="0.25">
      <c r="A168" s="31">
        <v>7</v>
      </c>
      <c r="B168" s="32">
        <v>100</v>
      </c>
      <c r="C168" s="34">
        <v>6912</v>
      </c>
      <c r="D168" s="34">
        <v>6301</v>
      </c>
      <c r="E168" s="34">
        <v>5871</v>
      </c>
      <c r="F168" s="34">
        <v>5584</v>
      </c>
      <c r="G168" s="34">
        <v>5462</v>
      </c>
      <c r="H168" s="34">
        <v>5261</v>
      </c>
      <c r="I168" s="34">
        <v>5095</v>
      </c>
      <c r="J168" s="34">
        <v>4849</v>
      </c>
      <c r="K168" s="34">
        <v>4271</v>
      </c>
      <c r="L168" s="34">
        <v>3776</v>
      </c>
      <c r="M168" s="34">
        <v>3499</v>
      </c>
      <c r="N168" s="34">
        <v>3290</v>
      </c>
      <c r="O168" s="34">
        <v>3142</v>
      </c>
      <c r="P168" s="34">
        <v>3034</v>
      </c>
      <c r="Q168" s="34">
        <v>2906</v>
      </c>
      <c r="R168" s="34">
        <v>2850</v>
      </c>
      <c r="S168" s="34">
        <v>2651</v>
      </c>
      <c r="T168" s="34">
        <v>2486</v>
      </c>
      <c r="U168" s="34">
        <v>2123</v>
      </c>
      <c r="V168" s="40">
        <v>1673</v>
      </c>
      <c r="W168" s="40">
        <v>1205</v>
      </c>
      <c r="X168" s="40">
        <v>768</v>
      </c>
      <c r="Y168" s="32">
        <v>0</v>
      </c>
    </row>
    <row r="169" spans="1:25" x14ac:dyDescent="0.25">
      <c r="A169" s="31">
        <v>7</v>
      </c>
      <c r="B169" s="32">
        <v>300</v>
      </c>
      <c r="C169" s="34">
        <v>7445</v>
      </c>
      <c r="D169" s="34">
        <v>6709</v>
      </c>
      <c r="E169" s="34">
        <v>6259</v>
      </c>
      <c r="F169" s="34">
        <v>6020</v>
      </c>
      <c r="G169" s="34">
        <v>5914</v>
      </c>
      <c r="H169" s="34">
        <v>5761</v>
      </c>
      <c r="I169" s="34">
        <v>5662</v>
      </c>
      <c r="J169" s="34">
        <v>5495</v>
      </c>
      <c r="K169" s="34">
        <v>5182</v>
      </c>
      <c r="L169" s="34">
        <v>4752</v>
      </c>
      <c r="M169" s="34">
        <v>4464</v>
      </c>
      <c r="N169" s="34">
        <v>4070</v>
      </c>
      <c r="O169" s="34">
        <v>3764</v>
      </c>
      <c r="P169" s="34">
        <v>3611</v>
      </c>
      <c r="Q169" s="34">
        <v>3417</v>
      </c>
      <c r="R169" s="34">
        <v>3250</v>
      </c>
      <c r="S169" s="34">
        <v>3028</v>
      </c>
      <c r="T169" s="34">
        <v>2738</v>
      </c>
      <c r="U169" s="40">
        <v>2286</v>
      </c>
      <c r="V169" s="40">
        <v>1994</v>
      </c>
      <c r="W169" s="40">
        <v>1408</v>
      </c>
      <c r="X169" s="40">
        <v>869</v>
      </c>
      <c r="Y169" s="32">
        <v>0</v>
      </c>
    </row>
    <row r="170" spans="1:25" x14ac:dyDescent="0.25">
      <c r="A170" s="31">
        <v>7</v>
      </c>
      <c r="B170" s="32">
        <v>500</v>
      </c>
      <c r="C170" s="34">
        <v>7842</v>
      </c>
      <c r="D170" s="34">
        <v>6895</v>
      </c>
      <c r="E170" s="34">
        <v>6435</v>
      </c>
      <c r="F170" s="34">
        <v>6188</v>
      </c>
      <c r="G170" s="34">
        <v>5996</v>
      </c>
      <c r="H170" s="34">
        <v>5931</v>
      </c>
      <c r="I170" s="34">
        <v>5818</v>
      </c>
      <c r="J170" s="34">
        <v>5672</v>
      </c>
      <c r="K170" s="34">
        <v>5408</v>
      </c>
      <c r="L170" s="34">
        <v>4922</v>
      </c>
      <c r="M170" s="34">
        <v>4521</v>
      </c>
      <c r="N170" s="34">
        <v>4196</v>
      </c>
      <c r="O170" s="34">
        <v>3989</v>
      </c>
      <c r="P170" s="34">
        <v>3812</v>
      </c>
      <c r="Q170" s="34">
        <v>3602</v>
      </c>
      <c r="R170" s="40">
        <v>3459</v>
      </c>
      <c r="S170" s="40">
        <v>3221</v>
      </c>
      <c r="T170" s="40">
        <v>2905</v>
      </c>
      <c r="U170" s="40">
        <v>2482</v>
      </c>
      <c r="V170" s="40">
        <v>1985</v>
      </c>
      <c r="W170" s="42">
        <v>1547</v>
      </c>
      <c r="X170" s="42">
        <v>869</v>
      </c>
      <c r="Y170" s="43">
        <v>0</v>
      </c>
    </row>
    <row r="171" spans="1:25" x14ac:dyDescent="0.25">
      <c r="A171" s="31">
        <v>7</v>
      </c>
      <c r="B171" s="32">
        <v>750</v>
      </c>
      <c r="C171" s="34">
        <v>9129</v>
      </c>
      <c r="D171" s="34">
        <v>7841</v>
      </c>
      <c r="E171" s="34">
        <v>6867</v>
      </c>
      <c r="F171" s="34">
        <v>6263</v>
      </c>
      <c r="G171" s="34">
        <v>6154</v>
      </c>
      <c r="H171" s="34">
        <v>5998</v>
      </c>
      <c r="I171" s="34">
        <v>5895</v>
      </c>
      <c r="J171" s="34">
        <v>5776</v>
      </c>
      <c r="K171" s="34">
        <v>5430</v>
      </c>
      <c r="L171" s="40">
        <v>4987</v>
      </c>
      <c r="M171" s="40">
        <v>4538</v>
      </c>
      <c r="N171" s="40">
        <v>4131</v>
      </c>
      <c r="O171" s="40">
        <v>3918</v>
      </c>
      <c r="P171" s="40">
        <v>3709</v>
      </c>
      <c r="Q171" s="40">
        <v>3464</v>
      </c>
      <c r="R171" s="40">
        <v>3327</v>
      </c>
      <c r="S171" s="40">
        <v>3118</v>
      </c>
      <c r="T171" s="40">
        <v>2770</v>
      </c>
      <c r="U171" s="40">
        <v>2312</v>
      </c>
      <c r="V171" s="42">
        <v>1904</v>
      </c>
      <c r="W171" s="42">
        <v>1400</v>
      </c>
      <c r="X171" s="42">
        <v>742</v>
      </c>
      <c r="Y171" s="43">
        <v>0</v>
      </c>
    </row>
    <row r="172" spans="1:25" x14ac:dyDescent="0.25">
      <c r="A172" s="31">
        <v>7</v>
      </c>
      <c r="B172" s="32">
        <v>1000</v>
      </c>
      <c r="C172" s="34">
        <v>10186</v>
      </c>
      <c r="D172" s="34">
        <v>8774</v>
      </c>
      <c r="E172" s="34">
        <v>7390</v>
      </c>
      <c r="F172" s="34">
        <v>6532</v>
      </c>
      <c r="G172" s="34">
        <v>6313</v>
      </c>
      <c r="H172" s="40">
        <v>6276</v>
      </c>
      <c r="I172" s="40">
        <v>6162</v>
      </c>
      <c r="J172" s="40">
        <v>5864</v>
      </c>
      <c r="K172" s="40">
        <v>5366</v>
      </c>
      <c r="L172" s="40">
        <v>4920</v>
      </c>
      <c r="M172" s="40">
        <v>4399</v>
      </c>
      <c r="N172" s="40">
        <v>3935</v>
      </c>
      <c r="O172" s="40">
        <v>3723</v>
      </c>
      <c r="P172" s="40">
        <v>3447</v>
      </c>
      <c r="Q172" s="40">
        <v>3112</v>
      </c>
      <c r="R172" s="40">
        <v>2864</v>
      </c>
      <c r="S172" s="40">
        <v>2713</v>
      </c>
      <c r="T172" s="40">
        <v>2432</v>
      </c>
      <c r="U172" s="42">
        <v>2085</v>
      </c>
      <c r="V172" s="42">
        <v>767</v>
      </c>
      <c r="W172" s="42">
        <v>506</v>
      </c>
      <c r="X172" s="40">
        <v>341</v>
      </c>
      <c r="Y172" s="32">
        <v>0</v>
      </c>
    </row>
    <row r="173" spans="1:25" x14ac:dyDescent="0.25">
      <c r="A173" s="31">
        <v>7</v>
      </c>
      <c r="B173" s="32">
        <v>1500</v>
      </c>
      <c r="C173" s="34">
        <v>11920</v>
      </c>
      <c r="D173" s="34">
        <v>10072</v>
      </c>
      <c r="E173" s="34">
        <v>8460</v>
      </c>
      <c r="F173" s="34">
        <v>7262</v>
      </c>
      <c r="G173" s="40">
        <v>6915</v>
      </c>
      <c r="H173" s="40">
        <v>6647</v>
      </c>
      <c r="I173" s="40">
        <v>6308</v>
      </c>
      <c r="J173" s="40">
        <v>5729</v>
      </c>
      <c r="K173" s="40">
        <v>5059</v>
      </c>
      <c r="L173" s="40">
        <v>4561</v>
      </c>
      <c r="M173" s="40">
        <v>4039</v>
      </c>
      <c r="N173" s="40">
        <v>3612</v>
      </c>
      <c r="O173" s="40">
        <v>3279</v>
      </c>
      <c r="P173" s="40">
        <v>2991</v>
      </c>
      <c r="Q173" s="40">
        <v>2698</v>
      </c>
      <c r="R173" s="40">
        <v>2490</v>
      </c>
      <c r="S173" s="42">
        <v>2264</v>
      </c>
      <c r="T173" s="42">
        <v>1591</v>
      </c>
      <c r="U173" s="42">
        <v>599</v>
      </c>
      <c r="V173" s="40">
        <v>372</v>
      </c>
      <c r="W173" s="40">
        <v>318</v>
      </c>
      <c r="X173" s="40">
        <v>191</v>
      </c>
      <c r="Y173" s="32">
        <v>0</v>
      </c>
    </row>
    <row r="174" spans="1:25" x14ac:dyDescent="0.25">
      <c r="A174" s="31">
        <v>7</v>
      </c>
      <c r="B174" s="32">
        <v>2000</v>
      </c>
      <c r="C174" s="34">
        <v>13294</v>
      </c>
      <c r="D174" s="34">
        <v>11209</v>
      </c>
      <c r="E174" s="40">
        <v>9172</v>
      </c>
      <c r="F174" s="40">
        <v>7557</v>
      </c>
      <c r="G174" s="40">
        <v>7279</v>
      </c>
      <c r="H174" s="40">
        <v>6769</v>
      </c>
      <c r="I174" s="40">
        <v>6187</v>
      </c>
      <c r="J174" s="40">
        <v>5327</v>
      </c>
      <c r="K174" s="40">
        <v>4570</v>
      </c>
      <c r="L174" s="40">
        <v>4020</v>
      </c>
      <c r="M174" s="40">
        <v>3552</v>
      </c>
      <c r="N174" s="40">
        <v>3174</v>
      </c>
      <c r="O174" s="40">
        <v>2864</v>
      </c>
      <c r="P174" s="40">
        <v>2566</v>
      </c>
      <c r="Q174" s="42">
        <v>2353</v>
      </c>
      <c r="R174" s="42">
        <v>1919</v>
      </c>
      <c r="S174" s="42">
        <v>1406</v>
      </c>
      <c r="T174" s="42">
        <v>793</v>
      </c>
      <c r="U174" s="42">
        <v>483</v>
      </c>
      <c r="V174" s="40">
        <v>267</v>
      </c>
      <c r="W174" s="40">
        <v>197</v>
      </c>
      <c r="X174" s="40">
        <v>134</v>
      </c>
      <c r="Y174" s="32">
        <v>0</v>
      </c>
    </row>
    <row r="175" spans="1:25" x14ac:dyDescent="0.25">
      <c r="A175" s="31">
        <v>7</v>
      </c>
      <c r="B175" s="32">
        <v>2500</v>
      </c>
      <c r="C175" s="34">
        <v>14680</v>
      </c>
      <c r="D175" s="34">
        <v>12245</v>
      </c>
      <c r="E175" s="40">
        <v>9774</v>
      </c>
      <c r="F175" s="40">
        <v>7920</v>
      </c>
      <c r="G175" s="40">
        <v>7382</v>
      </c>
      <c r="H175" s="40">
        <v>6765</v>
      </c>
      <c r="I175" s="40">
        <v>5895</v>
      </c>
      <c r="J175" s="40">
        <v>4977</v>
      </c>
      <c r="K175" s="40">
        <v>4178</v>
      </c>
      <c r="L175" s="40">
        <v>3639</v>
      </c>
      <c r="M175" s="40">
        <v>3207</v>
      </c>
      <c r="N175" s="40">
        <v>2867</v>
      </c>
      <c r="O175" s="40">
        <v>2552</v>
      </c>
      <c r="P175" s="40">
        <v>2211</v>
      </c>
      <c r="Q175" s="42">
        <v>1941</v>
      </c>
      <c r="R175" s="42">
        <v>1487</v>
      </c>
      <c r="S175" s="42">
        <v>813</v>
      </c>
      <c r="T175" s="42">
        <v>521</v>
      </c>
      <c r="U175" s="40">
        <v>342</v>
      </c>
      <c r="V175" s="40">
        <v>177</v>
      </c>
      <c r="W175" s="40">
        <v>103</v>
      </c>
      <c r="X175" s="40">
        <v>58</v>
      </c>
      <c r="Y175" s="32">
        <v>0</v>
      </c>
    </row>
    <row r="176" spans="1:25" x14ac:dyDescent="0.25">
      <c r="A176" s="31">
        <v>7</v>
      </c>
      <c r="B176" s="32">
        <v>3000</v>
      </c>
      <c r="C176" s="34">
        <v>15871</v>
      </c>
      <c r="D176" s="34">
        <v>13214</v>
      </c>
      <c r="E176" s="40">
        <v>10463</v>
      </c>
      <c r="F176" s="40">
        <v>8259</v>
      </c>
      <c r="G176" s="40">
        <v>7522</v>
      </c>
      <c r="H176" s="40">
        <v>6778</v>
      </c>
      <c r="I176" s="40">
        <v>5785</v>
      </c>
      <c r="J176" s="40">
        <v>4761</v>
      </c>
      <c r="K176" s="40">
        <v>3971</v>
      </c>
      <c r="L176" s="40">
        <v>3366</v>
      </c>
      <c r="M176" s="40">
        <v>3014</v>
      </c>
      <c r="N176" s="40">
        <v>2640</v>
      </c>
      <c r="O176" s="40">
        <v>2333</v>
      </c>
      <c r="P176" s="42">
        <v>2111</v>
      </c>
      <c r="Q176" s="42">
        <v>1685</v>
      </c>
      <c r="R176" s="42">
        <v>951</v>
      </c>
      <c r="S176" s="42">
        <v>493</v>
      </c>
      <c r="T176" s="40">
        <v>429</v>
      </c>
      <c r="U176" s="40">
        <v>307</v>
      </c>
      <c r="V176" s="40">
        <v>157</v>
      </c>
      <c r="W176" s="40">
        <v>77</v>
      </c>
      <c r="X176" s="40">
        <v>43</v>
      </c>
      <c r="Y176" s="41">
        <v>0</v>
      </c>
    </row>
    <row r="177" spans="1:25" x14ac:dyDescent="0.25">
      <c r="A177" s="31">
        <v>7</v>
      </c>
      <c r="B177" s="32">
        <v>3500</v>
      </c>
      <c r="C177" s="34">
        <v>16889</v>
      </c>
      <c r="D177" s="34">
        <v>14072</v>
      </c>
      <c r="E177" s="34">
        <v>11223</v>
      </c>
      <c r="F177" s="34">
        <v>8783</v>
      </c>
      <c r="G177" s="34">
        <v>7744</v>
      </c>
      <c r="H177" s="40">
        <v>6972</v>
      </c>
      <c r="I177" s="40">
        <v>5738</v>
      </c>
      <c r="J177" s="40">
        <v>4518</v>
      </c>
      <c r="K177" s="40">
        <v>3739</v>
      </c>
      <c r="L177" s="40">
        <v>3127</v>
      </c>
      <c r="M177" s="40">
        <v>2816</v>
      </c>
      <c r="N177" s="40">
        <v>2482</v>
      </c>
      <c r="O177" s="40">
        <v>2188</v>
      </c>
      <c r="P177" s="40">
        <v>1798</v>
      </c>
      <c r="Q177" s="40">
        <v>1357</v>
      </c>
      <c r="R177" s="40">
        <v>851</v>
      </c>
      <c r="S177" s="40">
        <v>631</v>
      </c>
      <c r="T177" s="40">
        <v>531</v>
      </c>
      <c r="U177" s="34">
        <v>388</v>
      </c>
      <c r="V177" s="40">
        <v>224</v>
      </c>
      <c r="W177" s="40">
        <v>96</v>
      </c>
      <c r="X177" s="34">
        <v>44</v>
      </c>
      <c r="Y177" s="41">
        <v>0</v>
      </c>
    </row>
    <row r="178" spans="1:25" x14ac:dyDescent="0.25">
      <c r="A178" s="31">
        <v>7</v>
      </c>
      <c r="B178" s="32">
        <v>4000</v>
      </c>
      <c r="C178" s="34">
        <v>17783</v>
      </c>
      <c r="D178" s="34">
        <v>14824</v>
      </c>
      <c r="E178" s="34">
        <v>11868</v>
      </c>
      <c r="F178" s="40">
        <v>9277</v>
      </c>
      <c r="G178" s="40">
        <v>8077</v>
      </c>
      <c r="H178" s="40">
        <v>7118</v>
      </c>
      <c r="I178" s="40">
        <v>5593</v>
      </c>
      <c r="J178" s="40">
        <v>4226</v>
      </c>
      <c r="K178" s="40">
        <v>3539</v>
      </c>
      <c r="L178" s="40">
        <v>2855</v>
      </c>
      <c r="M178" s="40">
        <v>2616</v>
      </c>
      <c r="N178" s="40">
        <v>2362</v>
      </c>
      <c r="O178" s="40">
        <v>2104</v>
      </c>
      <c r="P178" s="40">
        <v>1710</v>
      </c>
      <c r="Q178" s="40">
        <v>1251</v>
      </c>
      <c r="R178" s="40">
        <v>957</v>
      </c>
      <c r="S178" s="40">
        <v>789</v>
      </c>
      <c r="T178" s="40">
        <v>681</v>
      </c>
      <c r="U178" s="34">
        <v>444</v>
      </c>
      <c r="V178" s="34">
        <v>255</v>
      </c>
      <c r="W178" s="34">
        <v>99</v>
      </c>
      <c r="X178" s="34">
        <v>44</v>
      </c>
      <c r="Y178" s="41">
        <v>0</v>
      </c>
    </row>
    <row r="179" spans="1:25" x14ac:dyDescent="0.25">
      <c r="A179" s="31">
        <v>7</v>
      </c>
      <c r="B179" s="32">
        <v>4500</v>
      </c>
      <c r="C179" s="34">
        <v>18619</v>
      </c>
      <c r="D179" s="34">
        <v>15498</v>
      </c>
      <c r="E179" s="34">
        <v>12439</v>
      </c>
      <c r="F179" s="40">
        <v>9619</v>
      </c>
      <c r="G179" s="40">
        <v>8281</v>
      </c>
      <c r="H179" s="40">
        <v>7208</v>
      </c>
      <c r="I179" s="40">
        <v>5381</v>
      </c>
      <c r="J179" s="40">
        <v>4156</v>
      </c>
      <c r="K179" s="40">
        <v>3422</v>
      </c>
      <c r="L179" s="40">
        <v>2650</v>
      </c>
      <c r="M179" s="40">
        <v>2472</v>
      </c>
      <c r="N179" s="40">
        <v>2268</v>
      </c>
      <c r="O179" s="40">
        <v>2057</v>
      </c>
      <c r="P179" s="40">
        <v>1647</v>
      </c>
      <c r="Q179" s="40">
        <v>1239</v>
      </c>
      <c r="R179" s="40">
        <v>1006</v>
      </c>
      <c r="S179" s="40">
        <v>867</v>
      </c>
      <c r="T179" s="34">
        <v>779</v>
      </c>
      <c r="U179" s="34">
        <v>487</v>
      </c>
      <c r="V179" s="34">
        <v>266</v>
      </c>
      <c r="W179" s="34">
        <v>102</v>
      </c>
      <c r="X179" s="34">
        <v>45</v>
      </c>
      <c r="Y179" s="41">
        <v>0</v>
      </c>
    </row>
    <row r="180" spans="1:25" x14ac:dyDescent="0.25">
      <c r="A180" s="31">
        <v>7</v>
      </c>
      <c r="B180" s="32">
        <v>5000</v>
      </c>
      <c r="C180" s="34">
        <v>19434</v>
      </c>
      <c r="D180" s="34">
        <v>16132</v>
      </c>
      <c r="E180" s="34">
        <v>12870</v>
      </c>
      <c r="F180" s="34">
        <v>10084</v>
      </c>
      <c r="G180" s="40">
        <v>8686</v>
      </c>
      <c r="H180" s="40">
        <v>7415</v>
      </c>
      <c r="I180" s="40">
        <v>5486</v>
      </c>
      <c r="J180" s="40">
        <v>4350</v>
      </c>
      <c r="K180" s="40">
        <v>3409</v>
      </c>
      <c r="L180" s="40">
        <v>2611</v>
      </c>
      <c r="M180" s="40">
        <v>2486</v>
      </c>
      <c r="N180" s="40">
        <v>2251</v>
      </c>
      <c r="O180" s="40">
        <v>2040</v>
      </c>
      <c r="P180" s="40">
        <v>1619</v>
      </c>
      <c r="Q180" s="40">
        <v>1279</v>
      </c>
      <c r="R180" s="40">
        <v>1052</v>
      </c>
      <c r="S180" s="34">
        <v>950</v>
      </c>
      <c r="T180" s="34">
        <v>854</v>
      </c>
      <c r="U180" s="34">
        <v>526</v>
      </c>
      <c r="V180" s="34">
        <v>277</v>
      </c>
      <c r="W180" s="34">
        <v>106</v>
      </c>
      <c r="X180" s="34">
        <v>47</v>
      </c>
      <c r="Y180" s="41">
        <v>0</v>
      </c>
    </row>
    <row r="181" spans="1:25" x14ac:dyDescent="0.25">
      <c r="A181" s="31">
        <v>7</v>
      </c>
      <c r="B181" s="32">
        <v>5500</v>
      </c>
      <c r="C181" s="34">
        <v>20138</v>
      </c>
      <c r="D181" s="34">
        <v>16733</v>
      </c>
      <c r="E181" s="34">
        <v>13579</v>
      </c>
      <c r="F181" s="34">
        <v>10563</v>
      </c>
      <c r="G181" s="40">
        <v>9272</v>
      </c>
      <c r="H181" s="40">
        <v>7844</v>
      </c>
      <c r="I181" s="40">
        <v>6153</v>
      </c>
      <c r="J181" s="40">
        <v>4649</v>
      </c>
      <c r="K181" s="40">
        <v>3405</v>
      </c>
      <c r="L181" s="40">
        <v>2688</v>
      </c>
      <c r="M181" s="40">
        <v>2460</v>
      </c>
      <c r="N181" s="40">
        <v>2325</v>
      </c>
      <c r="O181" s="40">
        <v>2076</v>
      </c>
      <c r="P181" s="40">
        <v>1662</v>
      </c>
      <c r="Q181" s="40">
        <v>1397</v>
      </c>
      <c r="R181" s="40">
        <v>1217</v>
      </c>
      <c r="S181" s="34">
        <v>1065</v>
      </c>
      <c r="T181" s="34">
        <v>933</v>
      </c>
      <c r="U181" s="34">
        <v>576</v>
      </c>
      <c r="V181" s="34">
        <v>298</v>
      </c>
      <c r="W181" s="34">
        <v>115</v>
      </c>
      <c r="X181" s="34">
        <v>52</v>
      </c>
      <c r="Y181" s="41">
        <v>0</v>
      </c>
    </row>
    <row r="182" spans="1:25" x14ac:dyDescent="0.25">
      <c r="A182" s="31">
        <v>7</v>
      </c>
      <c r="B182" s="32">
        <v>6000</v>
      </c>
      <c r="C182" s="34">
        <v>20703</v>
      </c>
      <c r="D182" s="34">
        <v>17309</v>
      </c>
      <c r="E182" s="34">
        <v>14047</v>
      </c>
      <c r="F182" s="34">
        <v>11354</v>
      </c>
      <c r="G182" s="34">
        <v>9947</v>
      </c>
      <c r="H182" s="34">
        <v>8657</v>
      </c>
      <c r="I182" s="40">
        <v>6697</v>
      </c>
      <c r="J182" s="40">
        <v>4756</v>
      </c>
      <c r="K182" s="40">
        <v>3417</v>
      </c>
      <c r="L182" s="40">
        <v>2725</v>
      </c>
      <c r="M182" s="40">
        <v>2487</v>
      </c>
      <c r="N182" s="40">
        <v>2353</v>
      </c>
      <c r="O182" s="40">
        <v>2087</v>
      </c>
      <c r="P182" s="40">
        <v>1697</v>
      </c>
      <c r="Q182" s="40">
        <v>1476</v>
      </c>
      <c r="R182" s="34">
        <v>1339</v>
      </c>
      <c r="S182" s="34">
        <v>1184</v>
      </c>
      <c r="T182" s="34">
        <v>1018</v>
      </c>
      <c r="U182" s="34">
        <v>637</v>
      </c>
      <c r="V182" s="34">
        <v>327</v>
      </c>
      <c r="W182" s="34">
        <v>131</v>
      </c>
      <c r="X182" s="34">
        <v>60</v>
      </c>
      <c r="Y182" s="41">
        <v>0</v>
      </c>
    </row>
    <row r="183" spans="1:25" x14ac:dyDescent="0.25">
      <c r="A183" s="31">
        <v>7</v>
      </c>
      <c r="B183" s="32">
        <v>6500</v>
      </c>
      <c r="C183" s="34">
        <v>21284</v>
      </c>
      <c r="D183" s="34">
        <v>17855</v>
      </c>
      <c r="E183" s="34">
        <v>14610</v>
      </c>
      <c r="F183" s="34">
        <v>11951</v>
      </c>
      <c r="G183" s="34">
        <v>10355</v>
      </c>
      <c r="H183" s="34">
        <v>9156</v>
      </c>
      <c r="I183" s="40">
        <v>7135</v>
      </c>
      <c r="J183" s="40">
        <v>4905</v>
      </c>
      <c r="K183" s="40">
        <v>3437</v>
      </c>
      <c r="L183" s="40">
        <v>2733</v>
      </c>
      <c r="M183" s="40">
        <v>2525</v>
      </c>
      <c r="N183" s="40">
        <v>2442</v>
      </c>
      <c r="O183" s="40">
        <v>2241</v>
      </c>
      <c r="P183" s="40">
        <v>1938</v>
      </c>
      <c r="Q183" s="40">
        <v>1688</v>
      </c>
      <c r="R183" s="34">
        <v>1515</v>
      </c>
      <c r="S183" s="34">
        <v>1303</v>
      </c>
      <c r="T183" s="34">
        <v>1103</v>
      </c>
      <c r="U183" s="34">
        <v>702</v>
      </c>
      <c r="V183" s="34">
        <v>360</v>
      </c>
      <c r="W183" s="34">
        <v>149</v>
      </c>
      <c r="X183" s="34">
        <v>69</v>
      </c>
      <c r="Y183" s="41">
        <v>0</v>
      </c>
    </row>
    <row r="184" spans="1:25" x14ac:dyDescent="0.25">
      <c r="A184" s="31">
        <v>7</v>
      </c>
      <c r="B184" s="32">
        <v>7000</v>
      </c>
      <c r="C184" s="34">
        <v>21889</v>
      </c>
      <c r="D184" s="34">
        <v>18357</v>
      </c>
      <c r="E184" s="34">
        <v>15013</v>
      </c>
      <c r="F184" s="34">
        <v>12260</v>
      </c>
      <c r="G184" s="34">
        <v>10817</v>
      </c>
      <c r="H184" s="40">
        <v>9456</v>
      </c>
      <c r="I184" s="40">
        <v>7309</v>
      </c>
      <c r="J184" s="40">
        <v>4949</v>
      </c>
      <c r="K184" s="40">
        <v>3504</v>
      </c>
      <c r="L184" s="40">
        <v>2872</v>
      </c>
      <c r="M184" s="40">
        <v>2648</v>
      </c>
      <c r="N184" s="40">
        <v>2499</v>
      </c>
      <c r="O184" s="40">
        <v>2348</v>
      </c>
      <c r="P184" s="40">
        <v>2094</v>
      </c>
      <c r="Q184" s="40">
        <v>1852</v>
      </c>
      <c r="R184" s="34">
        <v>1615</v>
      </c>
      <c r="S184" s="34">
        <v>1393</v>
      </c>
      <c r="T184" s="34">
        <v>1182</v>
      </c>
      <c r="U184" s="34">
        <v>771</v>
      </c>
      <c r="V184" s="34">
        <v>401</v>
      </c>
      <c r="W184" s="34">
        <v>170</v>
      </c>
      <c r="X184" s="34">
        <v>80</v>
      </c>
      <c r="Y184" s="41">
        <v>0</v>
      </c>
    </row>
    <row r="185" spans="1:25" x14ac:dyDescent="0.25">
      <c r="A185" s="31">
        <v>7</v>
      </c>
      <c r="B185" s="32">
        <v>7500</v>
      </c>
      <c r="C185" s="34">
        <v>22505</v>
      </c>
      <c r="D185" s="34">
        <v>18841</v>
      </c>
      <c r="E185" s="34">
        <v>15385</v>
      </c>
      <c r="F185" s="34">
        <v>12539</v>
      </c>
      <c r="G185" s="34">
        <v>11244</v>
      </c>
      <c r="H185" s="40">
        <v>9779</v>
      </c>
      <c r="I185" s="40">
        <v>7455</v>
      </c>
      <c r="J185" s="40">
        <v>5004</v>
      </c>
      <c r="K185" s="40">
        <v>3629</v>
      </c>
      <c r="L185" s="40">
        <v>3017</v>
      </c>
      <c r="M185" s="40">
        <v>2792</v>
      </c>
      <c r="N185" s="40">
        <v>2596</v>
      </c>
      <c r="O185" s="40">
        <v>2488</v>
      </c>
      <c r="P185" s="40">
        <v>2263</v>
      </c>
      <c r="Q185" s="34">
        <v>2039</v>
      </c>
      <c r="R185" s="34">
        <v>1776</v>
      </c>
      <c r="S185" s="34">
        <v>1504</v>
      </c>
      <c r="T185" s="34">
        <v>1264</v>
      </c>
      <c r="U185" s="34">
        <v>838</v>
      </c>
      <c r="V185" s="34">
        <v>433</v>
      </c>
      <c r="W185" s="34">
        <v>182</v>
      </c>
      <c r="X185" s="34">
        <v>86</v>
      </c>
      <c r="Y185" s="41">
        <v>0</v>
      </c>
    </row>
    <row r="186" spans="1:25" x14ac:dyDescent="0.25">
      <c r="A186" s="31">
        <v>7</v>
      </c>
      <c r="B186" s="32">
        <v>8000</v>
      </c>
      <c r="C186" s="34">
        <v>23064</v>
      </c>
      <c r="D186" s="34">
        <v>19305</v>
      </c>
      <c r="E186" s="34">
        <v>15794</v>
      </c>
      <c r="F186" s="34">
        <v>12917</v>
      </c>
      <c r="G186" s="34">
        <v>11519</v>
      </c>
      <c r="H186" s="34">
        <v>10059</v>
      </c>
      <c r="I186" s="40">
        <v>7792</v>
      </c>
      <c r="J186" s="40">
        <v>5163</v>
      </c>
      <c r="K186" s="40">
        <v>3777</v>
      </c>
      <c r="L186" s="40">
        <v>3222</v>
      </c>
      <c r="M186" s="40">
        <v>3120</v>
      </c>
      <c r="N186" s="40">
        <v>3063</v>
      </c>
      <c r="O186" s="34">
        <v>2927</v>
      </c>
      <c r="P186" s="34">
        <v>2605</v>
      </c>
      <c r="Q186" s="34">
        <v>2282</v>
      </c>
      <c r="R186" s="34">
        <v>1893</v>
      </c>
      <c r="S186" s="34">
        <v>1592</v>
      </c>
      <c r="T186" s="34">
        <v>1345</v>
      </c>
      <c r="U186" s="34">
        <v>904</v>
      </c>
      <c r="V186" s="34">
        <v>463</v>
      </c>
      <c r="W186" s="34">
        <v>193</v>
      </c>
      <c r="X186" s="34">
        <v>91</v>
      </c>
      <c r="Y186" s="41">
        <v>0</v>
      </c>
    </row>
    <row r="187" spans="1:25" x14ac:dyDescent="0.25">
      <c r="A187" s="40"/>
      <c r="B187" s="32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32"/>
    </row>
    <row r="188" spans="1:25" x14ac:dyDescent="0.25">
      <c r="A188" s="31">
        <v>10</v>
      </c>
      <c r="B188" s="32">
        <v>0</v>
      </c>
      <c r="C188" s="34">
        <v>4624</v>
      </c>
      <c r="D188" s="34">
        <v>4375</v>
      </c>
      <c r="E188" s="34">
        <v>4128</v>
      </c>
      <c r="F188" s="34">
        <v>3896</v>
      </c>
      <c r="G188" s="34">
        <v>3774</v>
      </c>
      <c r="H188" s="34">
        <v>3627</v>
      </c>
      <c r="I188" s="34">
        <v>3426</v>
      </c>
      <c r="J188" s="34">
        <v>3122</v>
      </c>
      <c r="K188" s="34">
        <v>2501</v>
      </c>
      <c r="L188" s="34">
        <v>2018</v>
      </c>
      <c r="M188" s="34">
        <v>1664</v>
      </c>
      <c r="N188" s="34">
        <v>1365</v>
      </c>
      <c r="O188" s="34">
        <v>1208</v>
      </c>
      <c r="P188" s="34">
        <v>1041</v>
      </c>
      <c r="Q188" s="34">
        <v>910</v>
      </c>
      <c r="R188" s="34">
        <v>809</v>
      </c>
      <c r="S188" s="34">
        <v>734</v>
      </c>
      <c r="T188" s="34">
        <v>677</v>
      </c>
      <c r="U188" s="34">
        <v>582</v>
      </c>
      <c r="V188" s="34">
        <v>404</v>
      </c>
      <c r="W188" s="34">
        <v>244</v>
      </c>
      <c r="X188" s="34">
        <v>205</v>
      </c>
      <c r="Y188" s="41">
        <v>0</v>
      </c>
    </row>
    <row r="189" spans="1:25" x14ac:dyDescent="0.25">
      <c r="A189" s="31">
        <v>10</v>
      </c>
      <c r="B189" s="32">
        <v>50</v>
      </c>
      <c r="C189" s="34">
        <v>5040</v>
      </c>
      <c r="D189" s="34">
        <v>4787</v>
      </c>
      <c r="E189" s="34">
        <v>4542</v>
      </c>
      <c r="F189" s="34">
        <v>4302</v>
      </c>
      <c r="G189" s="34">
        <v>4182</v>
      </c>
      <c r="H189" s="34">
        <v>4042</v>
      </c>
      <c r="I189" s="34">
        <v>3857</v>
      </c>
      <c r="J189" s="34">
        <v>3586</v>
      </c>
      <c r="K189" s="34">
        <v>2977</v>
      </c>
      <c r="L189" s="34">
        <v>2514</v>
      </c>
      <c r="M189" s="34">
        <v>2217</v>
      </c>
      <c r="N189" s="34">
        <v>1984</v>
      </c>
      <c r="O189" s="34">
        <v>1824</v>
      </c>
      <c r="P189" s="34">
        <v>1678</v>
      </c>
      <c r="Q189" s="34">
        <v>1583</v>
      </c>
      <c r="R189" s="34">
        <v>1501</v>
      </c>
      <c r="S189" s="34">
        <v>1402</v>
      </c>
      <c r="T189" s="34">
        <v>1250</v>
      </c>
      <c r="U189" s="34">
        <v>1018</v>
      </c>
      <c r="V189" s="34">
        <v>758</v>
      </c>
      <c r="W189" s="34">
        <v>386</v>
      </c>
      <c r="X189" s="34">
        <v>281</v>
      </c>
      <c r="Y189" s="41">
        <v>0</v>
      </c>
    </row>
    <row r="190" spans="1:25" x14ac:dyDescent="0.25">
      <c r="A190" s="31">
        <v>10</v>
      </c>
      <c r="B190" s="32">
        <v>100</v>
      </c>
      <c r="C190" s="34">
        <v>5711</v>
      </c>
      <c r="D190" s="34">
        <v>5424</v>
      </c>
      <c r="E190" s="34">
        <v>5083</v>
      </c>
      <c r="F190" s="34">
        <v>4812</v>
      </c>
      <c r="G190" s="34">
        <v>4696</v>
      </c>
      <c r="H190" s="34">
        <v>4507</v>
      </c>
      <c r="I190" s="34">
        <v>4371</v>
      </c>
      <c r="J190" s="34">
        <v>4158</v>
      </c>
      <c r="K190" s="34">
        <v>3699</v>
      </c>
      <c r="L190" s="34">
        <v>3259</v>
      </c>
      <c r="M190" s="34">
        <v>2970</v>
      </c>
      <c r="N190" s="34">
        <v>2830</v>
      </c>
      <c r="O190" s="34">
        <v>2654</v>
      </c>
      <c r="P190" s="34">
        <v>2505</v>
      </c>
      <c r="Q190" s="34">
        <v>2354</v>
      </c>
      <c r="R190" s="34">
        <v>2059</v>
      </c>
      <c r="S190" s="34">
        <v>1840</v>
      </c>
      <c r="T190" s="34">
        <v>1620</v>
      </c>
      <c r="U190" s="34">
        <v>1293</v>
      </c>
      <c r="V190" s="34">
        <v>999</v>
      </c>
      <c r="W190" s="34">
        <v>668</v>
      </c>
      <c r="X190" s="40">
        <v>467</v>
      </c>
      <c r="Y190" s="32">
        <v>0</v>
      </c>
    </row>
    <row r="191" spans="1:25" x14ac:dyDescent="0.25">
      <c r="A191" s="31">
        <v>10</v>
      </c>
      <c r="B191" s="32">
        <v>300</v>
      </c>
      <c r="C191" s="34">
        <v>6240</v>
      </c>
      <c r="D191" s="34">
        <v>5751</v>
      </c>
      <c r="E191" s="34">
        <v>5329</v>
      </c>
      <c r="F191" s="34">
        <v>5036</v>
      </c>
      <c r="G191" s="34">
        <v>4934</v>
      </c>
      <c r="H191" s="34">
        <v>4777</v>
      </c>
      <c r="I191" s="34">
        <v>4690</v>
      </c>
      <c r="J191" s="34">
        <v>4523</v>
      </c>
      <c r="K191" s="34">
        <v>4197</v>
      </c>
      <c r="L191" s="34">
        <v>3777</v>
      </c>
      <c r="M191" s="34">
        <v>3361</v>
      </c>
      <c r="N191" s="34">
        <v>3136</v>
      </c>
      <c r="O191" s="34">
        <v>2994</v>
      </c>
      <c r="P191" s="34">
        <v>2803</v>
      </c>
      <c r="Q191" s="34">
        <v>2635</v>
      </c>
      <c r="R191" s="34">
        <v>2398</v>
      </c>
      <c r="S191" s="34">
        <v>2250</v>
      </c>
      <c r="T191" s="40">
        <v>1922</v>
      </c>
      <c r="U191" s="40">
        <v>1707</v>
      </c>
      <c r="V191" s="40">
        <v>1267</v>
      </c>
      <c r="W191" s="40">
        <v>915</v>
      </c>
      <c r="X191" s="40">
        <v>505</v>
      </c>
      <c r="Y191" s="32">
        <v>0</v>
      </c>
    </row>
    <row r="192" spans="1:25" x14ac:dyDescent="0.25">
      <c r="A192" s="31">
        <v>10</v>
      </c>
      <c r="B192" s="32">
        <v>500</v>
      </c>
      <c r="C192" s="34">
        <v>6422</v>
      </c>
      <c r="D192" s="34">
        <v>5774</v>
      </c>
      <c r="E192" s="34">
        <v>5441</v>
      </c>
      <c r="F192" s="34">
        <v>5059</v>
      </c>
      <c r="G192" s="34">
        <v>4945</v>
      </c>
      <c r="H192" s="34">
        <v>4837</v>
      </c>
      <c r="I192" s="34">
        <v>4744</v>
      </c>
      <c r="J192" s="34">
        <v>4583</v>
      </c>
      <c r="K192" s="34">
        <v>4328</v>
      </c>
      <c r="L192" s="34">
        <v>3920</v>
      </c>
      <c r="M192" s="34">
        <v>3461</v>
      </c>
      <c r="N192" s="34">
        <v>3206</v>
      </c>
      <c r="O192" s="34">
        <v>3005</v>
      </c>
      <c r="P192" s="34">
        <v>2804</v>
      </c>
      <c r="Q192" s="40">
        <v>2640</v>
      </c>
      <c r="R192" s="40">
        <v>2386</v>
      </c>
      <c r="S192" s="40">
        <v>2147</v>
      </c>
      <c r="T192" s="40">
        <v>1830</v>
      </c>
      <c r="U192" s="40">
        <v>1528</v>
      </c>
      <c r="V192" s="40">
        <v>1203</v>
      </c>
      <c r="W192" s="42">
        <v>806</v>
      </c>
      <c r="X192" s="42">
        <v>431</v>
      </c>
      <c r="Y192" s="43">
        <v>0</v>
      </c>
    </row>
    <row r="193" spans="1:25" x14ac:dyDescent="0.25">
      <c r="A193" s="31">
        <v>10</v>
      </c>
      <c r="B193" s="32">
        <v>750</v>
      </c>
      <c r="C193" s="34">
        <v>7259</v>
      </c>
      <c r="D193" s="34">
        <v>6426</v>
      </c>
      <c r="E193" s="34">
        <v>5740</v>
      </c>
      <c r="F193" s="34">
        <v>5233</v>
      </c>
      <c r="G193" s="34">
        <v>5035</v>
      </c>
      <c r="H193" s="40">
        <v>4842</v>
      </c>
      <c r="I193" s="40">
        <v>4761</v>
      </c>
      <c r="J193" s="40">
        <v>4501</v>
      </c>
      <c r="K193" s="40">
        <v>4263</v>
      </c>
      <c r="L193" s="40">
        <v>3879</v>
      </c>
      <c r="M193" s="40">
        <v>3404</v>
      </c>
      <c r="N193" s="40">
        <v>3093</v>
      </c>
      <c r="O193" s="40">
        <v>2879</v>
      </c>
      <c r="P193" s="40">
        <v>2640</v>
      </c>
      <c r="Q193" s="40">
        <v>2443</v>
      </c>
      <c r="R193" s="40">
        <v>2071</v>
      </c>
      <c r="S193" s="40">
        <v>1760</v>
      </c>
      <c r="T193" s="40">
        <v>1455</v>
      </c>
      <c r="U193" s="40">
        <v>1080</v>
      </c>
      <c r="V193" s="42">
        <v>713</v>
      </c>
      <c r="W193" s="42">
        <v>347</v>
      </c>
      <c r="X193" s="40">
        <v>238</v>
      </c>
      <c r="Y193" s="32">
        <v>0</v>
      </c>
    </row>
    <row r="194" spans="1:25" x14ac:dyDescent="0.25">
      <c r="A194" s="31">
        <v>10</v>
      </c>
      <c r="B194" s="32">
        <v>1000</v>
      </c>
      <c r="C194" s="34">
        <v>8156</v>
      </c>
      <c r="D194" s="34">
        <v>7090</v>
      </c>
      <c r="E194" s="34">
        <v>6125</v>
      </c>
      <c r="F194" s="34">
        <v>5478</v>
      </c>
      <c r="G194" s="34">
        <v>5179</v>
      </c>
      <c r="H194" s="40">
        <v>4985</v>
      </c>
      <c r="I194" s="40">
        <v>4762</v>
      </c>
      <c r="J194" s="40">
        <v>4439</v>
      </c>
      <c r="K194" s="40">
        <v>4149</v>
      </c>
      <c r="L194" s="40">
        <v>3793</v>
      </c>
      <c r="M194" s="40">
        <v>3295</v>
      </c>
      <c r="N194" s="40">
        <v>2886</v>
      </c>
      <c r="O194" s="40">
        <v>2595</v>
      </c>
      <c r="P194" s="40">
        <v>2280</v>
      </c>
      <c r="Q194" s="40">
        <v>1986</v>
      </c>
      <c r="R194" s="40">
        <v>1783</v>
      </c>
      <c r="S194" s="42">
        <v>1465</v>
      </c>
      <c r="T194" s="42">
        <v>1183</v>
      </c>
      <c r="U194" s="42">
        <v>356</v>
      </c>
      <c r="V194" s="42">
        <v>156</v>
      </c>
      <c r="W194" s="40">
        <v>108</v>
      </c>
      <c r="X194" s="40">
        <v>105</v>
      </c>
      <c r="Y194" s="41">
        <v>0</v>
      </c>
    </row>
    <row r="195" spans="1:25" x14ac:dyDescent="0.25">
      <c r="A195" s="31">
        <v>10</v>
      </c>
      <c r="B195" s="32">
        <v>1500</v>
      </c>
      <c r="C195" s="34">
        <v>9449</v>
      </c>
      <c r="D195" s="34">
        <v>8185</v>
      </c>
      <c r="E195" s="40">
        <v>7053</v>
      </c>
      <c r="F195" s="40">
        <v>6227</v>
      </c>
      <c r="G195" s="40">
        <v>5689</v>
      </c>
      <c r="H195" s="40">
        <v>5217</v>
      </c>
      <c r="I195" s="40">
        <v>4781</v>
      </c>
      <c r="J195" s="40">
        <v>4311</v>
      </c>
      <c r="K195" s="40">
        <v>3892</v>
      </c>
      <c r="L195" s="40">
        <v>3446</v>
      </c>
      <c r="M195" s="40">
        <v>2977</v>
      </c>
      <c r="N195" s="40">
        <v>2526</v>
      </c>
      <c r="O195" s="40">
        <v>2095</v>
      </c>
      <c r="P195" s="40">
        <v>1865</v>
      </c>
      <c r="Q195" s="42">
        <v>1547</v>
      </c>
      <c r="R195" s="42">
        <v>1203</v>
      </c>
      <c r="S195" s="42">
        <v>378</v>
      </c>
      <c r="T195" s="42">
        <v>295</v>
      </c>
      <c r="U195" s="40">
        <v>176</v>
      </c>
      <c r="V195" s="40">
        <v>79</v>
      </c>
      <c r="W195" s="40">
        <v>59</v>
      </c>
      <c r="X195" s="40">
        <v>51</v>
      </c>
      <c r="Y195" s="41">
        <v>0</v>
      </c>
    </row>
    <row r="196" spans="1:25" x14ac:dyDescent="0.25">
      <c r="A196" s="31">
        <v>10</v>
      </c>
      <c r="B196" s="32">
        <v>2000</v>
      </c>
      <c r="C196" s="34">
        <v>10490</v>
      </c>
      <c r="D196" s="34">
        <v>8949</v>
      </c>
      <c r="E196" s="40">
        <v>7655</v>
      </c>
      <c r="F196" s="40">
        <v>6479</v>
      </c>
      <c r="G196" s="40">
        <v>5965</v>
      </c>
      <c r="H196" s="40">
        <v>5398</v>
      </c>
      <c r="I196" s="40">
        <v>4762</v>
      </c>
      <c r="J196" s="40">
        <v>4131</v>
      </c>
      <c r="K196" s="40">
        <v>3467</v>
      </c>
      <c r="L196" s="40">
        <v>2960</v>
      </c>
      <c r="M196" s="40">
        <v>2452</v>
      </c>
      <c r="N196" s="40">
        <v>2020</v>
      </c>
      <c r="O196" s="40">
        <v>1708</v>
      </c>
      <c r="P196" s="40">
        <v>1191</v>
      </c>
      <c r="Q196" s="42">
        <v>1054</v>
      </c>
      <c r="R196" s="42">
        <v>393</v>
      </c>
      <c r="S196" s="40">
        <v>247</v>
      </c>
      <c r="T196" s="40">
        <v>183</v>
      </c>
      <c r="U196" s="40">
        <v>125</v>
      </c>
      <c r="V196" s="40">
        <v>65</v>
      </c>
      <c r="W196" s="34">
        <v>50</v>
      </c>
      <c r="X196" s="34">
        <v>46</v>
      </c>
      <c r="Y196" s="41">
        <v>0</v>
      </c>
    </row>
    <row r="197" spans="1:25" x14ac:dyDescent="0.25">
      <c r="A197" s="31">
        <v>10</v>
      </c>
      <c r="B197" s="32">
        <v>2500</v>
      </c>
      <c r="C197" s="34">
        <v>11536</v>
      </c>
      <c r="D197" s="34">
        <v>9833</v>
      </c>
      <c r="E197" s="40">
        <v>8292</v>
      </c>
      <c r="F197" s="40">
        <v>6889</v>
      </c>
      <c r="G197" s="40">
        <v>6216</v>
      </c>
      <c r="H197" s="40">
        <v>5619</v>
      </c>
      <c r="I197" s="40">
        <v>4784</v>
      </c>
      <c r="J197" s="40">
        <v>4013</v>
      </c>
      <c r="K197" s="40">
        <v>3282</v>
      </c>
      <c r="L197" s="40">
        <v>2691</v>
      </c>
      <c r="M197" s="40">
        <v>2188</v>
      </c>
      <c r="N197" s="40">
        <v>1776</v>
      </c>
      <c r="O197" s="40">
        <v>1469</v>
      </c>
      <c r="P197" s="42">
        <v>1177</v>
      </c>
      <c r="Q197" s="42">
        <v>738</v>
      </c>
      <c r="R197" s="42">
        <v>342</v>
      </c>
      <c r="S197" s="40">
        <v>288</v>
      </c>
      <c r="T197" s="40">
        <v>182</v>
      </c>
      <c r="U197" s="40">
        <v>140</v>
      </c>
      <c r="V197" s="34">
        <v>80</v>
      </c>
      <c r="W197" s="34">
        <v>54</v>
      </c>
      <c r="X197" s="34">
        <v>39</v>
      </c>
      <c r="Y197" s="41">
        <v>0</v>
      </c>
    </row>
    <row r="198" spans="1:25" x14ac:dyDescent="0.25">
      <c r="A198" s="31">
        <v>10</v>
      </c>
      <c r="B198" s="32">
        <v>3000</v>
      </c>
      <c r="C198" s="34">
        <v>12449</v>
      </c>
      <c r="D198" s="34">
        <v>10561</v>
      </c>
      <c r="E198" s="40">
        <v>8790</v>
      </c>
      <c r="F198" s="40">
        <v>7196</v>
      </c>
      <c r="G198" s="40">
        <v>6491</v>
      </c>
      <c r="H198" s="40">
        <v>5789</v>
      </c>
      <c r="I198" s="40">
        <v>4822</v>
      </c>
      <c r="J198" s="40">
        <v>3893</v>
      </c>
      <c r="K198" s="40">
        <v>3116</v>
      </c>
      <c r="L198" s="40">
        <v>2432</v>
      </c>
      <c r="M198" s="40">
        <v>1939</v>
      </c>
      <c r="N198" s="40">
        <v>1580</v>
      </c>
      <c r="O198" s="40">
        <v>1354</v>
      </c>
      <c r="P198" s="42">
        <v>998</v>
      </c>
      <c r="Q198" s="42">
        <v>675</v>
      </c>
      <c r="R198" s="40">
        <v>396</v>
      </c>
      <c r="S198" s="40">
        <v>337</v>
      </c>
      <c r="T198" s="40">
        <v>232</v>
      </c>
      <c r="U198" s="40">
        <v>176</v>
      </c>
      <c r="V198" s="34">
        <v>98</v>
      </c>
      <c r="W198" s="34">
        <v>50</v>
      </c>
      <c r="X198" s="34">
        <v>32</v>
      </c>
      <c r="Y198" s="41">
        <v>0</v>
      </c>
    </row>
    <row r="199" spans="1:25" x14ac:dyDescent="0.25">
      <c r="A199" s="31">
        <v>10</v>
      </c>
      <c r="B199" s="32">
        <v>3500</v>
      </c>
      <c r="C199" s="34">
        <v>13181</v>
      </c>
      <c r="D199" s="34">
        <v>11191</v>
      </c>
      <c r="E199" s="40">
        <v>9261</v>
      </c>
      <c r="F199" s="40">
        <v>7712</v>
      </c>
      <c r="G199" s="40">
        <v>6887</v>
      </c>
      <c r="H199" s="40">
        <v>6007</v>
      </c>
      <c r="I199" s="40">
        <v>4842</v>
      </c>
      <c r="J199" s="40">
        <v>3862</v>
      </c>
      <c r="K199" s="40">
        <v>2998</v>
      </c>
      <c r="L199" s="40">
        <v>2277</v>
      </c>
      <c r="M199" s="40">
        <v>1809</v>
      </c>
      <c r="N199" s="40">
        <v>1526</v>
      </c>
      <c r="O199" s="40">
        <v>1314</v>
      </c>
      <c r="P199" s="40">
        <v>1076</v>
      </c>
      <c r="Q199" s="40">
        <v>775</v>
      </c>
      <c r="R199" s="40">
        <v>528</v>
      </c>
      <c r="S199" s="40">
        <v>406</v>
      </c>
      <c r="T199" s="34">
        <v>365</v>
      </c>
      <c r="U199" s="34">
        <v>254</v>
      </c>
      <c r="V199" s="34">
        <v>131</v>
      </c>
      <c r="W199" s="34">
        <v>75</v>
      </c>
      <c r="X199" s="34">
        <v>38</v>
      </c>
      <c r="Y199" s="41">
        <v>0</v>
      </c>
    </row>
    <row r="200" spans="1:25" x14ac:dyDescent="0.25">
      <c r="A200" s="31">
        <v>10</v>
      </c>
      <c r="B200" s="32">
        <v>4000</v>
      </c>
      <c r="C200" s="34">
        <v>13882</v>
      </c>
      <c r="D200" s="34">
        <v>11788</v>
      </c>
      <c r="E200" s="34">
        <v>9761</v>
      </c>
      <c r="F200" s="34">
        <v>8080</v>
      </c>
      <c r="G200" s="34">
        <v>7079</v>
      </c>
      <c r="H200" s="40">
        <v>6163</v>
      </c>
      <c r="I200" s="40">
        <v>4875</v>
      </c>
      <c r="J200" s="40">
        <v>3813</v>
      </c>
      <c r="K200" s="40">
        <v>2936</v>
      </c>
      <c r="L200" s="40">
        <v>2079</v>
      </c>
      <c r="M200" s="40">
        <v>1704</v>
      </c>
      <c r="N200" s="40">
        <v>1521</v>
      </c>
      <c r="O200" s="40">
        <v>1251</v>
      </c>
      <c r="P200" s="40">
        <v>1153</v>
      </c>
      <c r="Q200" s="40">
        <v>881</v>
      </c>
      <c r="R200" s="40">
        <v>694</v>
      </c>
      <c r="S200" s="34">
        <v>525</v>
      </c>
      <c r="T200" s="34">
        <v>445</v>
      </c>
      <c r="U200" s="34">
        <v>299</v>
      </c>
      <c r="V200" s="34">
        <v>153</v>
      </c>
      <c r="W200" s="34">
        <v>76</v>
      </c>
      <c r="X200" s="34">
        <v>39</v>
      </c>
      <c r="Y200" s="41">
        <v>0</v>
      </c>
    </row>
    <row r="201" spans="1:25" x14ac:dyDescent="0.25">
      <c r="A201" s="31">
        <v>10</v>
      </c>
      <c r="B201" s="32">
        <v>4500</v>
      </c>
      <c r="C201" s="34">
        <v>14555</v>
      </c>
      <c r="D201" s="34">
        <v>12363</v>
      </c>
      <c r="E201" s="34">
        <v>10227</v>
      </c>
      <c r="F201" s="34">
        <v>8450</v>
      </c>
      <c r="G201" s="34">
        <v>7344</v>
      </c>
      <c r="H201" s="40">
        <v>6374</v>
      </c>
      <c r="I201" s="40">
        <v>4885</v>
      </c>
      <c r="J201" s="40">
        <v>3798</v>
      </c>
      <c r="K201" s="40">
        <v>2877</v>
      </c>
      <c r="L201" s="40">
        <v>2027</v>
      </c>
      <c r="M201" s="40">
        <v>1709</v>
      </c>
      <c r="N201" s="40">
        <v>1562</v>
      </c>
      <c r="O201" s="40">
        <v>1331</v>
      </c>
      <c r="P201" s="40">
        <v>1279</v>
      </c>
      <c r="Q201" s="40">
        <v>1048</v>
      </c>
      <c r="R201" s="40">
        <v>763</v>
      </c>
      <c r="S201" s="34">
        <v>611</v>
      </c>
      <c r="T201" s="34">
        <v>513</v>
      </c>
      <c r="U201" s="34">
        <v>342</v>
      </c>
      <c r="V201" s="34">
        <v>174</v>
      </c>
      <c r="W201" s="34">
        <v>81</v>
      </c>
      <c r="X201" s="34">
        <v>40</v>
      </c>
      <c r="Y201" s="41">
        <v>0</v>
      </c>
    </row>
    <row r="202" spans="1:25" x14ac:dyDescent="0.25">
      <c r="A202" s="31">
        <v>10</v>
      </c>
      <c r="B202" s="32">
        <v>5000</v>
      </c>
      <c r="C202" s="34">
        <v>15087</v>
      </c>
      <c r="D202" s="34">
        <v>12776</v>
      </c>
      <c r="E202" s="34">
        <v>10637</v>
      </c>
      <c r="F202" s="34">
        <v>8882</v>
      </c>
      <c r="G202" s="34">
        <v>7723</v>
      </c>
      <c r="H202" s="40">
        <v>6804</v>
      </c>
      <c r="I202" s="40">
        <v>4955</v>
      </c>
      <c r="J202" s="40">
        <v>3928</v>
      </c>
      <c r="K202" s="40">
        <v>2889</v>
      </c>
      <c r="L202" s="40">
        <v>2082</v>
      </c>
      <c r="M202" s="40">
        <v>1715</v>
      </c>
      <c r="N202" s="40">
        <v>1608</v>
      </c>
      <c r="O202" s="40">
        <v>1460</v>
      </c>
      <c r="P202" s="40">
        <v>1314</v>
      </c>
      <c r="Q202" s="40">
        <v>1073</v>
      </c>
      <c r="R202" s="40">
        <v>832</v>
      </c>
      <c r="S202" s="34">
        <v>683</v>
      </c>
      <c r="T202" s="34">
        <v>575</v>
      </c>
      <c r="U202" s="34">
        <v>395</v>
      </c>
      <c r="V202" s="34">
        <v>200</v>
      </c>
      <c r="W202" s="34">
        <v>87</v>
      </c>
      <c r="X202" s="34">
        <v>42</v>
      </c>
      <c r="Y202" s="41">
        <v>0</v>
      </c>
    </row>
    <row r="203" spans="1:25" x14ac:dyDescent="0.25">
      <c r="A203" s="31">
        <v>10</v>
      </c>
      <c r="B203" s="32">
        <v>5500</v>
      </c>
      <c r="C203" s="34">
        <v>15617</v>
      </c>
      <c r="D203" s="34">
        <v>13257</v>
      </c>
      <c r="E203" s="34">
        <v>11054</v>
      </c>
      <c r="F203" s="34">
        <v>9422</v>
      </c>
      <c r="G203" s="34">
        <v>8279</v>
      </c>
      <c r="H203" s="40">
        <v>7203</v>
      </c>
      <c r="I203" s="40">
        <v>5517</v>
      </c>
      <c r="J203" s="40">
        <v>4119</v>
      </c>
      <c r="K203" s="40">
        <v>2942</v>
      </c>
      <c r="L203" s="40">
        <v>2106</v>
      </c>
      <c r="M203" s="40">
        <v>1824</v>
      </c>
      <c r="N203" s="40">
        <v>1763</v>
      </c>
      <c r="O203" s="40">
        <v>1638</v>
      </c>
      <c r="P203" s="40">
        <v>1478</v>
      </c>
      <c r="Q203" s="40">
        <v>1261</v>
      </c>
      <c r="R203" s="40">
        <v>964</v>
      </c>
      <c r="S203" s="34">
        <v>822</v>
      </c>
      <c r="T203" s="34">
        <v>681</v>
      </c>
      <c r="U203" s="34">
        <v>453</v>
      </c>
      <c r="V203" s="34">
        <v>231</v>
      </c>
      <c r="W203" s="34">
        <v>96</v>
      </c>
      <c r="X203" s="34">
        <v>45</v>
      </c>
      <c r="Y203" s="41">
        <v>0</v>
      </c>
    </row>
    <row r="204" spans="1:25" x14ac:dyDescent="0.25">
      <c r="A204" s="31">
        <v>10</v>
      </c>
      <c r="B204" s="32">
        <v>6000</v>
      </c>
      <c r="C204" s="34">
        <v>16191</v>
      </c>
      <c r="D204" s="34">
        <v>13799</v>
      </c>
      <c r="E204" s="34">
        <v>11553</v>
      </c>
      <c r="F204" s="34">
        <v>9797</v>
      </c>
      <c r="G204" s="34">
        <v>8723</v>
      </c>
      <c r="H204" s="34">
        <v>7611</v>
      </c>
      <c r="I204" s="34">
        <v>5821</v>
      </c>
      <c r="J204" s="40">
        <v>4226</v>
      </c>
      <c r="K204" s="40">
        <v>3014</v>
      </c>
      <c r="L204" s="40">
        <v>2189</v>
      </c>
      <c r="M204" s="40">
        <v>1975</v>
      </c>
      <c r="N204" s="40">
        <v>1867</v>
      </c>
      <c r="O204" s="40">
        <v>1723</v>
      </c>
      <c r="P204" s="40">
        <v>1539</v>
      </c>
      <c r="Q204" s="40">
        <v>1323</v>
      </c>
      <c r="R204" s="34">
        <v>1109</v>
      </c>
      <c r="S204" s="34">
        <v>963</v>
      </c>
      <c r="T204" s="34">
        <v>816</v>
      </c>
      <c r="U204" s="34">
        <v>526</v>
      </c>
      <c r="V204" s="34">
        <v>267</v>
      </c>
      <c r="W204" s="34">
        <v>111</v>
      </c>
      <c r="X204" s="34">
        <v>52</v>
      </c>
      <c r="Y204" s="41">
        <v>0</v>
      </c>
    </row>
    <row r="205" spans="1:25" x14ac:dyDescent="0.25">
      <c r="A205" s="31">
        <v>10</v>
      </c>
      <c r="B205" s="32">
        <v>6500</v>
      </c>
      <c r="C205" s="34">
        <v>16692</v>
      </c>
      <c r="D205" s="34">
        <v>14162</v>
      </c>
      <c r="E205" s="34">
        <v>11890</v>
      </c>
      <c r="F205" s="34">
        <v>10082</v>
      </c>
      <c r="G205" s="34">
        <v>9097</v>
      </c>
      <c r="H205" s="34">
        <v>7925</v>
      </c>
      <c r="I205" s="34">
        <v>5990</v>
      </c>
      <c r="J205" s="40">
        <v>4326</v>
      </c>
      <c r="K205" s="40">
        <v>3023</v>
      </c>
      <c r="L205" s="40">
        <v>2297</v>
      </c>
      <c r="M205" s="40">
        <v>2073</v>
      </c>
      <c r="N205" s="40">
        <v>2020</v>
      </c>
      <c r="O205" s="40">
        <v>1843</v>
      </c>
      <c r="P205" s="40">
        <v>1697</v>
      </c>
      <c r="Q205" s="40">
        <v>1500</v>
      </c>
      <c r="R205" s="34">
        <v>1314</v>
      </c>
      <c r="S205" s="34">
        <v>1098</v>
      </c>
      <c r="T205" s="34">
        <v>923</v>
      </c>
      <c r="U205" s="34">
        <v>595</v>
      </c>
      <c r="V205" s="34">
        <v>305</v>
      </c>
      <c r="W205" s="34">
        <v>129</v>
      </c>
      <c r="X205" s="34">
        <v>60</v>
      </c>
      <c r="Y205" s="41">
        <v>0</v>
      </c>
    </row>
    <row r="206" spans="1:25" x14ac:dyDescent="0.25">
      <c r="A206" s="31">
        <v>10</v>
      </c>
      <c r="B206" s="32">
        <v>7000</v>
      </c>
      <c r="C206" s="34">
        <v>17149</v>
      </c>
      <c r="D206" s="34">
        <v>14598</v>
      </c>
      <c r="E206" s="34">
        <v>12284</v>
      </c>
      <c r="F206" s="34">
        <v>10292</v>
      </c>
      <c r="G206" s="34">
        <v>9215</v>
      </c>
      <c r="H206" s="34">
        <v>8047</v>
      </c>
      <c r="I206" s="40">
        <v>6128</v>
      </c>
      <c r="J206" s="40">
        <v>4397</v>
      </c>
      <c r="K206" s="40">
        <v>3082</v>
      </c>
      <c r="L206" s="40">
        <v>2339</v>
      </c>
      <c r="M206" s="40">
        <v>2209</v>
      </c>
      <c r="N206" s="40">
        <v>2103</v>
      </c>
      <c r="O206" s="40">
        <v>2006</v>
      </c>
      <c r="P206" s="40">
        <v>1850</v>
      </c>
      <c r="Q206" s="40">
        <v>1618</v>
      </c>
      <c r="R206" s="34">
        <v>1394</v>
      </c>
      <c r="S206" s="34">
        <v>1179</v>
      </c>
      <c r="T206" s="34">
        <v>1004</v>
      </c>
      <c r="U206" s="34">
        <v>658</v>
      </c>
      <c r="V206" s="34">
        <v>343</v>
      </c>
      <c r="W206" s="34">
        <v>147</v>
      </c>
      <c r="X206" s="34">
        <v>70</v>
      </c>
      <c r="Y206" s="41">
        <v>0</v>
      </c>
    </row>
    <row r="207" spans="1:25" x14ac:dyDescent="0.25">
      <c r="A207" s="31">
        <v>10</v>
      </c>
      <c r="B207" s="32">
        <v>7500</v>
      </c>
      <c r="C207" s="34">
        <v>17628</v>
      </c>
      <c r="D207" s="34">
        <v>15027</v>
      </c>
      <c r="E207" s="34">
        <v>12656</v>
      </c>
      <c r="F207" s="34">
        <v>10529</v>
      </c>
      <c r="G207" s="34">
        <v>9450</v>
      </c>
      <c r="H207" s="34">
        <v>8245</v>
      </c>
      <c r="I207" s="40">
        <v>6145</v>
      </c>
      <c r="J207" s="40">
        <v>4440</v>
      </c>
      <c r="K207" s="40">
        <v>3190</v>
      </c>
      <c r="L207" s="40">
        <v>2370</v>
      </c>
      <c r="M207" s="40">
        <v>2320</v>
      </c>
      <c r="N207" s="40">
        <v>2190</v>
      </c>
      <c r="O207" s="40">
        <v>2170</v>
      </c>
      <c r="P207" s="40">
        <v>2000</v>
      </c>
      <c r="Q207" s="40">
        <v>1740</v>
      </c>
      <c r="R207" s="34">
        <v>1491</v>
      </c>
      <c r="S207" s="34">
        <v>1270</v>
      </c>
      <c r="T207" s="34">
        <v>1084</v>
      </c>
      <c r="U207" s="34">
        <v>719</v>
      </c>
      <c r="V207" s="34">
        <v>373</v>
      </c>
      <c r="W207" s="34">
        <v>159</v>
      </c>
      <c r="X207" s="34">
        <v>75</v>
      </c>
      <c r="Y207" s="41">
        <v>0</v>
      </c>
    </row>
    <row r="208" spans="1:25" x14ac:dyDescent="0.25">
      <c r="A208" s="31">
        <v>10</v>
      </c>
      <c r="B208" s="32">
        <v>8000</v>
      </c>
      <c r="C208" s="34">
        <v>18123</v>
      </c>
      <c r="D208" s="34">
        <v>15428</v>
      </c>
      <c r="E208" s="34">
        <v>12988</v>
      </c>
      <c r="F208" s="34">
        <v>10706</v>
      </c>
      <c r="G208" s="34">
        <v>9587</v>
      </c>
      <c r="H208" s="34">
        <v>8466</v>
      </c>
      <c r="I208" s="40">
        <v>6263</v>
      </c>
      <c r="J208" s="40">
        <v>4626</v>
      </c>
      <c r="K208" s="40">
        <v>3587</v>
      </c>
      <c r="L208" s="40">
        <v>3056</v>
      </c>
      <c r="M208" s="40">
        <v>2981</v>
      </c>
      <c r="N208" s="40">
        <v>2800</v>
      </c>
      <c r="O208" s="40">
        <v>2700</v>
      </c>
      <c r="P208" s="40">
        <v>2347</v>
      </c>
      <c r="Q208" s="34">
        <v>2006</v>
      </c>
      <c r="R208" s="34">
        <v>1665</v>
      </c>
      <c r="S208" s="34">
        <v>1403</v>
      </c>
      <c r="T208" s="34">
        <v>1174</v>
      </c>
      <c r="U208" s="34">
        <v>781</v>
      </c>
      <c r="V208" s="34">
        <v>402</v>
      </c>
      <c r="W208" s="34">
        <v>170</v>
      </c>
      <c r="X208" s="34">
        <v>80</v>
      </c>
      <c r="Y208" s="41">
        <v>0</v>
      </c>
    </row>
    <row r="209" spans="1:25" x14ac:dyDescent="0.25">
      <c r="A209" s="40"/>
      <c r="B209" s="32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32"/>
    </row>
    <row r="210" spans="1:25" x14ac:dyDescent="0.25">
      <c r="A210" s="31">
        <v>12</v>
      </c>
      <c r="B210" s="32">
        <v>0</v>
      </c>
      <c r="C210" s="34">
        <v>4070</v>
      </c>
      <c r="D210" s="34">
        <v>3883</v>
      </c>
      <c r="E210" s="34">
        <v>3698</v>
      </c>
      <c r="F210" s="34">
        <v>3525</v>
      </c>
      <c r="G210" s="34">
        <v>3433</v>
      </c>
      <c r="H210" s="34">
        <v>3322</v>
      </c>
      <c r="I210" s="34">
        <v>3163</v>
      </c>
      <c r="J210" s="34">
        <v>2914</v>
      </c>
      <c r="K210" s="34">
        <v>2391</v>
      </c>
      <c r="L210" s="34">
        <v>1936</v>
      </c>
      <c r="M210" s="34">
        <v>1606</v>
      </c>
      <c r="N210" s="34">
        <v>1334</v>
      </c>
      <c r="O210" s="34">
        <v>1173</v>
      </c>
      <c r="P210" s="34">
        <v>1026</v>
      </c>
      <c r="Q210" s="34">
        <v>909</v>
      </c>
      <c r="R210" s="34">
        <v>814</v>
      </c>
      <c r="S210" s="34">
        <v>745</v>
      </c>
      <c r="T210" s="34">
        <v>694</v>
      </c>
      <c r="U210" s="34">
        <v>588</v>
      </c>
      <c r="V210" s="34">
        <v>397</v>
      </c>
      <c r="W210" s="34">
        <v>225</v>
      </c>
      <c r="X210" s="34">
        <v>141</v>
      </c>
      <c r="Y210" s="41">
        <v>0</v>
      </c>
    </row>
    <row r="211" spans="1:25" x14ac:dyDescent="0.25">
      <c r="A211" s="31">
        <v>12</v>
      </c>
      <c r="B211" s="32">
        <v>50</v>
      </c>
      <c r="C211" s="34">
        <v>4436</v>
      </c>
      <c r="D211" s="34">
        <v>4247</v>
      </c>
      <c r="E211" s="34">
        <v>4061</v>
      </c>
      <c r="F211" s="34">
        <v>3869</v>
      </c>
      <c r="G211" s="34">
        <v>3770</v>
      </c>
      <c r="H211" s="34">
        <v>3658</v>
      </c>
      <c r="I211" s="34">
        <v>3506</v>
      </c>
      <c r="J211" s="34">
        <v>3285</v>
      </c>
      <c r="K211" s="34">
        <v>2784</v>
      </c>
      <c r="L211" s="34">
        <v>2367</v>
      </c>
      <c r="M211" s="34">
        <v>2081</v>
      </c>
      <c r="N211" s="34">
        <v>1857</v>
      </c>
      <c r="O211" s="34">
        <v>1694</v>
      </c>
      <c r="P211" s="34">
        <v>1565</v>
      </c>
      <c r="Q211" s="34">
        <v>1498</v>
      </c>
      <c r="R211" s="34">
        <v>1357</v>
      </c>
      <c r="S211" s="34">
        <v>1200</v>
      </c>
      <c r="T211" s="34">
        <v>1087</v>
      </c>
      <c r="U211" s="34">
        <v>867</v>
      </c>
      <c r="V211" s="34">
        <v>667</v>
      </c>
      <c r="W211" s="34">
        <v>381</v>
      </c>
      <c r="X211" s="34">
        <v>242</v>
      </c>
      <c r="Y211" s="41">
        <v>0</v>
      </c>
    </row>
    <row r="212" spans="1:25" x14ac:dyDescent="0.25">
      <c r="A212" s="31">
        <v>12</v>
      </c>
      <c r="B212" s="32">
        <v>100</v>
      </c>
      <c r="C212" s="34">
        <v>5023</v>
      </c>
      <c r="D212" s="34">
        <v>4806</v>
      </c>
      <c r="E212" s="34">
        <v>4538</v>
      </c>
      <c r="F212" s="34">
        <v>4290</v>
      </c>
      <c r="G212" s="34">
        <v>4171</v>
      </c>
      <c r="H212" s="34">
        <v>3983</v>
      </c>
      <c r="I212" s="34">
        <v>3844</v>
      </c>
      <c r="J212" s="34">
        <v>3645</v>
      </c>
      <c r="K212" s="34">
        <v>3267</v>
      </c>
      <c r="L212" s="34">
        <v>2878</v>
      </c>
      <c r="M212" s="34">
        <v>2711</v>
      </c>
      <c r="N212" s="34">
        <v>2500</v>
      </c>
      <c r="O212" s="34">
        <v>2257</v>
      </c>
      <c r="P212" s="34">
        <v>2069</v>
      </c>
      <c r="Q212" s="34">
        <v>1905</v>
      </c>
      <c r="R212" s="34">
        <v>1622</v>
      </c>
      <c r="S212" s="34">
        <v>1460</v>
      </c>
      <c r="T212" s="34">
        <v>1290</v>
      </c>
      <c r="U212" s="34">
        <v>977</v>
      </c>
      <c r="V212" s="34">
        <v>772</v>
      </c>
      <c r="W212" s="40">
        <v>446</v>
      </c>
      <c r="X212" s="40">
        <v>301</v>
      </c>
      <c r="Y212" s="32">
        <v>0</v>
      </c>
    </row>
    <row r="213" spans="1:25" x14ac:dyDescent="0.25">
      <c r="A213" s="31">
        <v>12</v>
      </c>
      <c r="B213" s="32">
        <v>300</v>
      </c>
      <c r="C213" s="34">
        <v>5366</v>
      </c>
      <c r="D213" s="34">
        <v>5081</v>
      </c>
      <c r="E213" s="34">
        <v>4741</v>
      </c>
      <c r="F213" s="34">
        <v>4434</v>
      </c>
      <c r="G213" s="34">
        <v>4269</v>
      </c>
      <c r="H213" s="34">
        <v>4138</v>
      </c>
      <c r="I213" s="34">
        <v>3950</v>
      </c>
      <c r="J213" s="34">
        <v>3838</v>
      </c>
      <c r="K213" s="34">
        <v>3516</v>
      </c>
      <c r="L213" s="34">
        <v>3199</v>
      </c>
      <c r="M213" s="34">
        <v>2912</v>
      </c>
      <c r="N213" s="34">
        <v>2701</v>
      </c>
      <c r="O213" s="34">
        <v>2467</v>
      </c>
      <c r="P213" s="34">
        <v>2285</v>
      </c>
      <c r="Q213" s="34">
        <v>2108</v>
      </c>
      <c r="R213" s="34">
        <v>1940</v>
      </c>
      <c r="S213" s="40">
        <v>1830</v>
      </c>
      <c r="T213" s="40">
        <v>1630</v>
      </c>
      <c r="U213" s="40">
        <v>1250</v>
      </c>
      <c r="V213" s="40">
        <v>840</v>
      </c>
      <c r="W213" s="40">
        <v>500</v>
      </c>
      <c r="X213" s="40">
        <v>316</v>
      </c>
      <c r="Y213" s="32">
        <v>0</v>
      </c>
    </row>
    <row r="214" spans="1:25" x14ac:dyDescent="0.25">
      <c r="A214" s="31">
        <v>12</v>
      </c>
      <c r="B214" s="32">
        <v>500</v>
      </c>
      <c r="C214" s="34">
        <v>5647</v>
      </c>
      <c r="D214" s="34">
        <v>5188</v>
      </c>
      <c r="E214" s="34">
        <v>4869</v>
      </c>
      <c r="F214" s="34">
        <v>4445</v>
      </c>
      <c r="G214" s="34">
        <v>4298</v>
      </c>
      <c r="H214" s="34">
        <v>4131</v>
      </c>
      <c r="I214" s="34">
        <v>3988</v>
      </c>
      <c r="J214" s="34">
        <v>3819</v>
      </c>
      <c r="K214" s="34">
        <v>3555</v>
      </c>
      <c r="L214" s="34">
        <v>3240</v>
      </c>
      <c r="M214" s="34">
        <v>2951</v>
      </c>
      <c r="N214" s="34">
        <v>2724</v>
      </c>
      <c r="O214" s="34">
        <v>2500</v>
      </c>
      <c r="P214" s="40">
        <v>2310</v>
      </c>
      <c r="Q214" s="40">
        <v>2160</v>
      </c>
      <c r="R214" s="40">
        <v>1875</v>
      </c>
      <c r="S214" s="40">
        <v>1678</v>
      </c>
      <c r="T214" s="40">
        <v>1474</v>
      </c>
      <c r="U214" s="40">
        <v>1011</v>
      </c>
      <c r="V214" s="42">
        <v>423</v>
      </c>
      <c r="W214" s="42">
        <v>296</v>
      </c>
      <c r="X214" s="40">
        <v>205</v>
      </c>
      <c r="Y214" s="32">
        <v>0</v>
      </c>
    </row>
    <row r="215" spans="1:25" x14ac:dyDescent="0.25">
      <c r="A215" s="31">
        <v>12</v>
      </c>
      <c r="B215" s="32">
        <v>750</v>
      </c>
      <c r="C215" s="34">
        <v>6233</v>
      </c>
      <c r="D215" s="34">
        <v>5596</v>
      </c>
      <c r="E215" s="34">
        <v>5072</v>
      </c>
      <c r="F215" s="34">
        <v>4528</v>
      </c>
      <c r="G215" s="34">
        <v>4310</v>
      </c>
      <c r="H215" s="34">
        <v>4067</v>
      </c>
      <c r="I215" s="40">
        <v>3904</v>
      </c>
      <c r="J215" s="40">
        <v>3659</v>
      </c>
      <c r="K215" s="40">
        <v>3418</v>
      </c>
      <c r="L215" s="40">
        <v>3067</v>
      </c>
      <c r="M215" s="40">
        <v>2773</v>
      </c>
      <c r="N215" s="40">
        <v>2526</v>
      </c>
      <c r="O215" s="40">
        <v>2277</v>
      </c>
      <c r="P215" s="40">
        <v>2039</v>
      </c>
      <c r="Q215" s="40">
        <v>1798</v>
      </c>
      <c r="R215" s="40">
        <v>1396</v>
      </c>
      <c r="S215" s="40">
        <v>1180</v>
      </c>
      <c r="T215" s="42">
        <v>989</v>
      </c>
      <c r="U215" s="42">
        <v>312</v>
      </c>
      <c r="V215" s="40">
        <v>251</v>
      </c>
      <c r="W215" s="40">
        <v>211</v>
      </c>
      <c r="X215" s="34">
        <v>131</v>
      </c>
      <c r="Y215" s="41">
        <v>0</v>
      </c>
    </row>
    <row r="216" spans="1:25" x14ac:dyDescent="0.25">
      <c r="A216" s="31">
        <v>12</v>
      </c>
      <c r="B216" s="32">
        <v>1000</v>
      </c>
      <c r="C216" s="34">
        <v>7031</v>
      </c>
      <c r="D216" s="34">
        <v>6267</v>
      </c>
      <c r="E216" s="34">
        <v>5500</v>
      </c>
      <c r="F216" s="34">
        <v>4700</v>
      </c>
      <c r="G216" s="34">
        <v>4430</v>
      </c>
      <c r="H216" s="34">
        <v>4100</v>
      </c>
      <c r="I216" s="40">
        <v>3855</v>
      </c>
      <c r="J216" s="40">
        <v>3447</v>
      </c>
      <c r="K216" s="40">
        <v>3243</v>
      </c>
      <c r="L216" s="40">
        <v>2878</v>
      </c>
      <c r="M216" s="40">
        <v>2516</v>
      </c>
      <c r="N216" s="40">
        <v>2291</v>
      </c>
      <c r="O216" s="40">
        <v>1905</v>
      </c>
      <c r="P216" s="40">
        <v>1640</v>
      </c>
      <c r="Q216" s="40">
        <v>1420</v>
      </c>
      <c r="R216" s="42">
        <v>1073</v>
      </c>
      <c r="S216" s="42">
        <v>920</v>
      </c>
      <c r="T216" s="40">
        <v>310</v>
      </c>
      <c r="U216" s="40">
        <v>214</v>
      </c>
      <c r="V216" s="40">
        <v>118</v>
      </c>
      <c r="W216" s="34">
        <v>78</v>
      </c>
      <c r="X216" s="34">
        <v>76</v>
      </c>
      <c r="Y216" s="41">
        <v>0</v>
      </c>
    </row>
    <row r="217" spans="1:25" x14ac:dyDescent="0.25">
      <c r="A217" s="31">
        <v>12</v>
      </c>
      <c r="B217" s="32">
        <v>1500</v>
      </c>
      <c r="C217" s="34">
        <v>8214</v>
      </c>
      <c r="D217" s="40">
        <v>7105</v>
      </c>
      <c r="E217" s="40">
        <v>6221</v>
      </c>
      <c r="F217" s="40">
        <v>5242</v>
      </c>
      <c r="G217" s="40">
        <v>4662</v>
      </c>
      <c r="H217" s="40">
        <v>4271</v>
      </c>
      <c r="I217" s="40">
        <v>3813</v>
      </c>
      <c r="J217" s="40">
        <v>3405</v>
      </c>
      <c r="K217" s="40">
        <v>2952</v>
      </c>
      <c r="L217" s="40">
        <v>2526</v>
      </c>
      <c r="M217" s="40">
        <v>2112</v>
      </c>
      <c r="N217" s="40">
        <v>1723</v>
      </c>
      <c r="O217" s="40">
        <v>1389</v>
      </c>
      <c r="P217" s="40">
        <v>1096</v>
      </c>
      <c r="Q217" s="42">
        <v>918</v>
      </c>
      <c r="R217" s="42">
        <v>377</v>
      </c>
      <c r="S217" s="40">
        <v>315</v>
      </c>
      <c r="T217" s="40">
        <v>205</v>
      </c>
      <c r="U217" s="40">
        <v>105</v>
      </c>
      <c r="V217" s="34">
        <v>41</v>
      </c>
      <c r="W217" s="34">
        <v>39</v>
      </c>
      <c r="X217" s="34">
        <v>36</v>
      </c>
      <c r="Y217" s="41">
        <v>0</v>
      </c>
    </row>
    <row r="218" spans="1:25" x14ac:dyDescent="0.25">
      <c r="A218" s="31">
        <v>12</v>
      </c>
      <c r="B218" s="32">
        <v>2000</v>
      </c>
      <c r="C218" s="34">
        <v>8959</v>
      </c>
      <c r="D218" s="40">
        <v>7711</v>
      </c>
      <c r="E218" s="40">
        <v>6598</v>
      </c>
      <c r="F218" s="40">
        <v>5472</v>
      </c>
      <c r="G218" s="40">
        <v>4982</v>
      </c>
      <c r="H218" s="40">
        <v>4417</v>
      </c>
      <c r="I218" s="40">
        <v>3841</v>
      </c>
      <c r="J218" s="40">
        <v>3375</v>
      </c>
      <c r="K218" s="40">
        <v>2830</v>
      </c>
      <c r="L218" s="40">
        <v>2300</v>
      </c>
      <c r="M218" s="40">
        <v>1816</v>
      </c>
      <c r="N218" s="40">
        <v>1410</v>
      </c>
      <c r="O218" s="40">
        <v>1109</v>
      </c>
      <c r="P218" s="42">
        <v>911</v>
      </c>
      <c r="Q218" s="42">
        <v>385</v>
      </c>
      <c r="R218" s="40">
        <v>119</v>
      </c>
      <c r="S218" s="40">
        <v>110</v>
      </c>
      <c r="T218" s="34">
        <v>77</v>
      </c>
      <c r="U218" s="34">
        <v>71</v>
      </c>
      <c r="V218" s="34">
        <v>50</v>
      </c>
      <c r="W218" s="34">
        <v>37</v>
      </c>
      <c r="X218" s="34">
        <v>31</v>
      </c>
      <c r="Y218" s="41">
        <v>0</v>
      </c>
    </row>
    <row r="219" spans="1:25" x14ac:dyDescent="0.25">
      <c r="A219" s="31">
        <v>12</v>
      </c>
      <c r="B219" s="32">
        <v>2500</v>
      </c>
      <c r="C219" s="34">
        <v>9851</v>
      </c>
      <c r="D219" s="34">
        <v>8471</v>
      </c>
      <c r="E219" s="34">
        <v>7225</v>
      </c>
      <c r="F219" s="40">
        <v>5977</v>
      </c>
      <c r="G219" s="40">
        <v>5407</v>
      </c>
      <c r="H219" s="40">
        <v>4720</v>
      </c>
      <c r="I219" s="40">
        <v>3900</v>
      </c>
      <c r="J219" s="40">
        <v>3367</v>
      </c>
      <c r="K219" s="40">
        <v>2739</v>
      </c>
      <c r="L219" s="40">
        <v>2119</v>
      </c>
      <c r="M219" s="40">
        <v>1603</v>
      </c>
      <c r="N219" s="40">
        <v>1215</v>
      </c>
      <c r="O219" s="40">
        <v>971</v>
      </c>
      <c r="P219" s="42">
        <v>753</v>
      </c>
      <c r="Q219" s="42">
        <v>293</v>
      </c>
      <c r="R219" s="40">
        <v>172</v>
      </c>
      <c r="S219" s="34">
        <v>139</v>
      </c>
      <c r="T219" s="34">
        <v>119</v>
      </c>
      <c r="U219" s="34">
        <v>99</v>
      </c>
      <c r="V219" s="34">
        <v>59</v>
      </c>
      <c r="W219" s="34">
        <v>40</v>
      </c>
      <c r="X219" s="34">
        <v>27</v>
      </c>
      <c r="Y219" s="41">
        <v>0</v>
      </c>
    </row>
    <row r="220" spans="1:25" x14ac:dyDescent="0.25">
      <c r="A220" s="31">
        <v>12</v>
      </c>
      <c r="B220" s="32">
        <v>3000</v>
      </c>
      <c r="C220" s="34">
        <v>10436</v>
      </c>
      <c r="D220" s="34">
        <v>9128</v>
      </c>
      <c r="E220" s="34">
        <v>7655</v>
      </c>
      <c r="F220" s="40">
        <v>6409</v>
      </c>
      <c r="G220" s="40">
        <v>5706</v>
      </c>
      <c r="H220" s="40">
        <v>4923</v>
      </c>
      <c r="I220" s="40">
        <v>3949</v>
      </c>
      <c r="J220" s="40">
        <v>3364</v>
      </c>
      <c r="K220" s="40">
        <v>2690</v>
      </c>
      <c r="L220" s="40">
        <v>1985</v>
      </c>
      <c r="M220" s="40">
        <v>1492</v>
      </c>
      <c r="N220" s="40">
        <v>1101</v>
      </c>
      <c r="O220" s="42">
        <v>889</v>
      </c>
      <c r="P220" s="42">
        <v>689</v>
      </c>
      <c r="Q220" s="42">
        <v>354</v>
      </c>
      <c r="R220" s="40">
        <v>300</v>
      </c>
      <c r="S220" s="34">
        <v>245</v>
      </c>
      <c r="T220" s="34">
        <v>195</v>
      </c>
      <c r="U220" s="34">
        <v>154</v>
      </c>
      <c r="V220" s="34">
        <v>81</v>
      </c>
      <c r="W220" s="34">
        <v>45</v>
      </c>
      <c r="X220" s="34">
        <v>26</v>
      </c>
      <c r="Y220" s="41">
        <v>0</v>
      </c>
    </row>
    <row r="221" spans="1:25" x14ac:dyDescent="0.25">
      <c r="A221" s="31">
        <v>12</v>
      </c>
      <c r="B221" s="32">
        <v>3500</v>
      </c>
      <c r="C221" s="34">
        <v>11000</v>
      </c>
      <c r="D221" s="34">
        <v>9572</v>
      </c>
      <c r="E221" s="34">
        <v>7966</v>
      </c>
      <c r="F221" s="40">
        <v>6675</v>
      </c>
      <c r="G221" s="40">
        <v>5958</v>
      </c>
      <c r="H221" s="40">
        <v>5076</v>
      </c>
      <c r="I221" s="40">
        <v>4002</v>
      </c>
      <c r="J221" s="40">
        <v>3360</v>
      </c>
      <c r="K221" s="40">
        <v>2680</v>
      </c>
      <c r="L221" s="40">
        <v>1910</v>
      </c>
      <c r="M221" s="40">
        <v>1409</v>
      </c>
      <c r="N221" s="40">
        <v>1138</v>
      </c>
      <c r="O221" s="40">
        <v>922</v>
      </c>
      <c r="P221" s="40">
        <v>772</v>
      </c>
      <c r="Q221" s="40">
        <v>414</v>
      </c>
      <c r="R221" s="40">
        <v>404</v>
      </c>
      <c r="S221" s="34">
        <v>329</v>
      </c>
      <c r="T221" s="34">
        <v>294</v>
      </c>
      <c r="U221" s="34">
        <v>221</v>
      </c>
      <c r="V221" s="34">
        <v>109</v>
      </c>
      <c r="W221" s="34">
        <v>66</v>
      </c>
      <c r="X221" s="34">
        <v>35</v>
      </c>
      <c r="Y221" s="41">
        <v>0</v>
      </c>
    </row>
    <row r="222" spans="1:25" x14ac:dyDescent="0.25">
      <c r="A222" s="31">
        <v>12</v>
      </c>
      <c r="B222" s="32">
        <v>4000</v>
      </c>
      <c r="C222" s="34">
        <v>11291</v>
      </c>
      <c r="D222" s="34">
        <v>9879</v>
      </c>
      <c r="E222" s="34">
        <v>8449</v>
      </c>
      <c r="F222" s="34">
        <v>7028</v>
      </c>
      <c r="G222" s="40">
        <v>6239</v>
      </c>
      <c r="H222" s="40">
        <v>5226</v>
      </c>
      <c r="I222" s="40">
        <v>4061</v>
      </c>
      <c r="J222" s="40">
        <v>3326</v>
      </c>
      <c r="K222" s="40">
        <v>2680</v>
      </c>
      <c r="L222" s="40">
        <v>1904</v>
      </c>
      <c r="M222" s="40">
        <v>1456</v>
      </c>
      <c r="N222" s="40">
        <v>1244</v>
      </c>
      <c r="O222" s="40">
        <v>1077</v>
      </c>
      <c r="P222" s="40">
        <v>923</v>
      </c>
      <c r="Q222" s="40">
        <v>693</v>
      </c>
      <c r="R222" s="40">
        <v>586</v>
      </c>
      <c r="S222" s="34">
        <v>454</v>
      </c>
      <c r="T222" s="34">
        <v>361</v>
      </c>
      <c r="U222" s="34">
        <v>251</v>
      </c>
      <c r="V222" s="34">
        <v>131</v>
      </c>
      <c r="W222" s="34">
        <v>70</v>
      </c>
      <c r="X222" s="34">
        <v>36</v>
      </c>
      <c r="Y222" s="41">
        <v>0</v>
      </c>
    </row>
    <row r="223" spans="1:25" x14ac:dyDescent="0.25">
      <c r="A223" s="31">
        <v>12</v>
      </c>
      <c r="B223" s="32">
        <v>4500</v>
      </c>
      <c r="C223" s="34">
        <v>11695</v>
      </c>
      <c r="D223" s="34">
        <v>10442</v>
      </c>
      <c r="E223" s="34">
        <v>8797</v>
      </c>
      <c r="F223" s="34">
        <v>7329</v>
      </c>
      <c r="G223" s="40">
        <v>6398</v>
      </c>
      <c r="H223" s="40">
        <v>5397</v>
      </c>
      <c r="I223" s="40">
        <v>4163</v>
      </c>
      <c r="J223" s="40">
        <v>3353</v>
      </c>
      <c r="K223" s="40">
        <v>2698</v>
      </c>
      <c r="L223" s="40">
        <v>1927</v>
      </c>
      <c r="M223" s="40">
        <v>1529</v>
      </c>
      <c r="N223" s="40">
        <v>1383</v>
      </c>
      <c r="O223" s="40">
        <v>1174</v>
      </c>
      <c r="P223" s="40">
        <v>1097</v>
      </c>
      <c r="Q223" s="40">
        <v>862</v>
      </c>
      <c r="R223" s="40">
        <v>685</v>
      </c>
      <c r="S223" s="34">
        <v>539</v>
      </c>
      <c r="T223" s="34">
        <v>418</v>
      </c>
      <c r="U223" s="34">
        <v>294</v>
      </c>
      <c r="V223" s="34">
        <v>154</v>
      </c>
      <c r="W223" s="34">
        <v>75</v>
      </c>
      <c r="X223" s="34">
        <v>38</v>
      </c>
      <c r="Y223" s="41">
        <v>0</v>
      </c>
    </row>
    <row r="224" spans="1:25" x14ac:dyDescent="0.25">
      <c r="A224" s="31">
        <v>12</v>
      </c>
      <c r="B224" s="32">
        <v>5000</v>
      </c>
      <c r="C224" s="34">
        <v>12117</v>
      </c>
      <c r="D224" s="34">
        <v>10856</v>
      </c>
      <c r="E224" s="34">
        <v>9117</v>
      </c>
      <c r="F224" s="34">
        <v>7579</v>
      </c>
      <c r="G224" s="34">
        <v>6726</v>
      </c>
      <c r="H224" s="40">
        <v>5903</v>
      </c>
      <c r="I224" s="40">
        <v>4418</v>
      </c>
      <c r="J224" s="40">
        <v>3478</v>
      </c>
      <c r="K224" s="40">
        <v>2772</v>
      </c>
      <c r="L224" s="40">
        <v>2010</v>
      </c>
      <c r="M224" s="40">
        <v>1637</v>
      </c>
      <c r="N224" s="40">
        <v>1431</v>
      </c>
      <c r="O224" s="40">
        <v>1254</v>
      </c>
      <c r="P224" s="40">
        <v>1154</v>
      </c>
      <c r="Q224" s="40">
        <v>921</v>
      </c>
      <c r="R224" s="40">
        <v>726</v>
      </c>
      <c r="S224" s="40">
        <v>573</v>
      </c>
      <c r="T224" s="34">
        <v>465</v>
      </c>
      <c r="U224" s="34">
        <v>341</v>
      </c>
      <c r="V224" s="34">
        <v>183</v>
      </c>
      <c r="W224" s="34">
        <v>82</v>
      </c>
      <c r="X224" s="34">
        <v>40</v>
      </c>
      <c r="Y224" s="41">
        <v>0</v>
      </c>
    </row>
    <row r="225" spans="1:25" x14ac:dyDescent="0.25">
      <c r="A225" s="31">
        <v>12</v>
      </c>
      <c r="B225" s="32">
        <v>5500</v>
      </c>
      <c r="C225" s="34">
        <v>12466</v>
      </c>
      <c r="D225" s="34">
        <v>11071</v>
      </c>
      <c r="E225" s="34">
        <v>9431</v>
      </c>
      <c r="F225" s="34">
        <v>7831</v>
      </c>
      <c r="G225" s="34">
        <v>7005</v>
      </c>
      <c r="H225" s="40">
        <v>6089</v>
      </c>
      <c r="I225" s="40">
        <v>4517</v>
      </c>
      <c r="J225" s="40">
        <v>3728</v>
      </c>
      <c r="K225" s="40">
        <v>2908</v>
      </c>
      <c r="L225" s="40">
        <v>2140</v>
      </c>
      <c r="M225" s="40">
        <v>1867</v>
      </c>
      <c r="N225" s="40">
        <v>1621</v>
      </c>
      <c r="O225" s="40">
        <v>1469</v>
      </c>
      <c r="P225" s="40">
        <v>1345</v>
      </c>
      <c r="Q225" s="40">
        <v>1105</v>
      </c>
      <c r="R225" s="40">
        <v>909</v>
      </c>
      <c r="S225" s="40">
        <v>704</v>
      </c>
      <c r="T225" s="34">
        <v>564</v>
      </c>
      <c r="U225" s="34">
        <v>401</v>
      </c>
      <c r="V225" s="34">
        <v>214</v>
      </c>
      <c r="W225" s="34">
        <v>91</v>
      </c>
      <c r="X225" s="34">
        <v>43</v>
      </c>
      <c r="Y225" s="41">
        <v>0</v>
      </c>
    </row>
    <row r="226" spans="1:25" x14ac:dyDescent="0.25">
      <c r="A226" s="31">
        <v>12</v>
      </c>
      <c r="B226" s="32">
        <v>6000</v>
      </c>
      <c r="C226" s="34">
        <v>13176</v>
      </c>
      <c r="D226" s="34">
        <v>11559</v>
      </c>
      <c r="E226" s="34">
        <v>9782</v>
      </c>
      <c r="F226" s="34">
        <v>8050</v>
      </c>
      <c r="G226" s="34">
        <v>7166</v>
      </c>
      <c r="H226" s="34">
        <v>6225</v>
      </c>
      <c r="I226" s="34">
        <v>4603</v>
      </c>
      <c r="J226" s="40">
        <v>3885</v>
      </c>
      <c r="K226" s="40">
        <v>3060</v>
      </c>
      <c r="L226" s="40">
        <v>2229</v>
      </c>
      <c r="M226" s="40">
        <v>1986</v>
      </c>
      <c r="N226" s="40">
        <v>1781</v>
      </c>
      <c r="O226" s="40">
        <v>1627</v>
      </c>
      <c r="P226" s="40">
        <v>1472</v>
      </c>
      <c r="Q226" s="40">
        <v>1254</v>
      </c>
      <c r="R226" s="34">
        <v>1065</v>
      </c>
      <c r="S226" s="34">
        <v>868</v>
      </c>
      <c r="T226" s="34">
        <v>721</v>
      </c>
      <c r="U226" s="34">
        <v>483</v>
      </c>
      <c r="V226" s="34">
        <v>252</v>
      </c>
      <c r="W226" s="34">
        <v>105</v>
      </c>
      <c r="X226" s="34">
        <v>49</v>
      </c>
      <c r="Y226" s="41">
        <v>0</v>
      </c>
    </row>
    <row r="227" spans="1:25" x14ac:dyDescent="0.25">
      <c r="A227" s="31">
        <v>12</v>
      </c>
      <c r="B227" s="32">
        <v>6500</v>
      </c>
      <c r="C227" s="34">
        <v>14034</v>
      </c>
      <c r="D227" s="34">
        <v>12051</v>
      </c>
      <c r="E227" s="34">
        <v>10061</v>
      </c>
      <c r="F227" s="34">
        <v>8249</v>
      </c>
      <c r="G227" s="34">
        <v>7390</v>
      </c>
      <c r="H227" s="34">
        <v>6426</v>
      </c>
      <c r="I227" s="34">
        <v>4668</v>
      </c>
      <c r="J227" s="40">
        <v>3941</v>
      </c>
      <c r="K227" s="40">
        <v>3128</v>
      </c>
      <c r="L227" s="40">
        <v>2355</v>
      </c>
      <c r="M227" s="40">
        <v>2150</v>
      </c>
      <c r="N227" s="40">
        <v>1949</v>
      </c>
      <c r="O227" s="40">
        <v>1811</v>
      </c>
      <c r="P227" s="40">
        <v>1623</v>
      </c>
      <c r="Q227" s="40">
        <v>1447</v>
      </c>
      <c r="R227" s="34">
        <v>1220</v>
      </c>
      <c r="S227" s="34">
        <v>1023</v>
      </c>
      <c r="T227" s="34">
        <v>852</v>
      </c>
      <c r="U227" s="34">
        <v>558</v>
      </c>
      <c r="V227" s="34">
        <v>290</v>
      </c>
      <c r="W227" s="34">
        <v>122</v>
      </c>
      <c r="X227" s="34">
        <v>57</v>
      </c>
      <c r="Y227" s="41">
        <v>0</v>
      </c>
    </row>
    <row r="228" spans="1:25" x14ac:dyDescent="0.25">
      <c r="A228" s="31">
        <v>12</v>
      </c>
      <c r="B228" s="32">
        <v>7000</v>
      </c>
      <c r="C228" s="34">
        <v>14607</v>
      </c>
      <c r="D228" s="34">
        <v>12508</v>
      </c>
      <c r="E228" s="34">
        <v>10487</v>
      </c>
      <c r="F228" s="34">
        <v>8532</v>
      </c>
      <c r="G228" s="34">
        <v>7609</v>
      </c>
      <c r="H228" s="34">
        <v>6605</v>
      </c>
      <c r="I228" s="34">
        <v>4731</v>
      </c>
      <c r="J228" s="40">
        <v>4011</v>
      </c>
      <c r="K228" s="40">
        <v>3192</v>
      </c>
      <c r="L228" s="40">
        <v>2432</v>
      </c>
      <c r="M228" s="40">
        <v>2217</v>
      </c>
      <c r="N228" s="40">
        <v>2093</v>
      </c>
      <c r="O228" s="40">
        <v>1955</v>
      </c>
      <c r="P228" s="40">
        <v>1730</v>
      </c>
      <c r="Q228" s="34">
        <v>1554</v>
      </c>
      <c r="R228" s="34">
        <v>1342</v>
      </c>
      <c r="S228" s="34">
        <v>1126</v>
      </c>
      <c r="T228" s="34">
        <v>945</v>
      </c>
      <c r="U228" s="34">
        <v>622</v>
      </c>
      <c r="V228" s="34">
        <v>326</v>
      </c>
      <c r="W228" s="34">
        <v>140</v>
      </c>
      <c r="X228" s="34">
        <v>66</v>
      </c>
      <c r="Y228" s="41">
        <v>0</v>
      </c>
    </row>
    <row r="229" spans="1:25" x14ac:dyDescent="0.25">
      <c r="A229" s="31">
        <v>12</v>
      </c>
      <c r="B229" s="32">
        <v>7500</v>
      </c>
      <c r="C229" s="34">
        <v>14975</v>
      </c>
      <c r="D229" s="34">
        <v>12908</v>
      </c>
      <c r="E229" s="34">
        <v>10907</v>
      </c>
      <c r="F229" s="34">
        <v>8703</v>
      </c>
      <c r="G229" s="34">
        <v>7863</v>
      </c>
      <c r="H229" s="34">
        <v>6710</v>
      </c>
      <c r="I229" s="40">
        <v>4821</v>
      </c>
      <c r="J229" s="40">
        <v>4080</v>
      </c>
      <c r="K229" s="40">
        <v>3250</v>
      </c>
      <c r="L229" s="40">
        <v>2490</v>
      </c>
      <c r="M229" s="40">
        <v>2284</v>
      </c>
      <c r="N229" s="40">
        <v>2170</v>
      </c>
      <c r="O229" s="34">
        <v>2077</v>
      </c>
      <c r="P229" s="34">
        <v>1921</v>
      </c>
      <c r="Q229" s="34">
        <v>1676</v>
      </c>
      <c r="R229" s="34">
        <v>1441</v>
      </c>
      <c r="S229" s="34">
        <v>1227</v>
      </c>
      <c r="T229" s="34">
        <v>1034</v>
      </c>
      <c r="U229" s="34">
        <v>683</v>
      </c>
      <c r="V229" s="34">
        <v>355</v>
      </c>
      <c r="W229" s="34">
        <v>152</v>
      </c>
      <c r="X229" s="34">
        <v>72</v>
      </c>
      <c r="Y229" s="41">
        <v>0</v>
      </c>
    </row>
    <row r="230" spans="1:25" x14ac:dyDescent="0.25">
      <c r="A230" s="31">
        <v>12</v>
      </c>
      <c r="B230" s="32">
        <v>8000</v>
      </c>
      <c r="C230" s="34">
        <v>15432</v>
      </c>
      <c r="D230" s="34">
        <v>13298</v>
      </c>
      <c r="E230" s="34">
        <v>11407</v>
      </c>
      <c r="F230" s="34">
        <v>8898</v>
      </c>
      <c r="G230" s="34">
        <v>8033</v>
      </c>
      <c r="H230" s="34">
        <v>6904</v>
      </c>
      <c r="I230" s="40">
        <v>4932</v>
      </c>
      <c r="J230" s="40">
        <v>4219</v>
      </c>
      <c r="K230" s="40">
        <v>3398</v>
      </c>
      <c r="L230" s="40">
        <v>2827</v>
      </c>
      <c r="M230" s="40">
        <v>2737</v>
      </c>
      <c r="N230" s="34">
        <v>2527</v>
      </c>
      <c r="O230" s="34">
        <v>2420</v>
      </c>
      <c r="P230" s="34">
        <v>2168</v>
      </c>
      <c r="Q230" s="34">
        <v>1912</v>
      </c>
      <c r="R230" s="34">
        <v>1606</v>
      </c>
      <c r="S230" s="34">
        <v>1370</v>
      </c>
      <c r="T230" s="34">
        <v>1142</v>
      </c>
      <c r="U230" s="34">
        <v>749</v>
      </c>
      <c r="V230" s="34">
        <v>384</v>
      </c>
      <c r="W230" s="34">
        <v>162</v>
      </c>
      <c r="X230" s="34">
        <v>76</v>
      </c>
      <c r="Y230" s="41">
        <v>0</v>
      </c>
    </row>
    <row r="231" spans="1:25" x14ac:dyDescent="0.25">
      <c r="A231" s="40"/>
      <c r="B231" s="32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32"/>
    </row>
    <row r="232" spans="1:25" x14ac:dyDescent="0.25">
      <c r="A232" s="31">
        <v>14</v>
      </c>
      <c r="B232" s="32">
        <v>0</v>
      </c>
      <c r="C232" s="34">
        <v>3505</v>
      </c>
      <c r="D232" s="34">
        <v>3372</v>
      </c>
      <c r="E232" s="34">
        <v>3240</v>
      </c>
      <c r="F232" s="34">
        <v>3113</v>
      </c>
      <c r="G232" s="34">
        <v>3046</v>
      </c>
      <c r="H232" s="34">
        <v>2965</v>
      </c>
      <c r="I232" s="34">
        <v>2846</v>
      </c>
      <c r="J232" s="34">
        <v>2654</v>
      </c>
      <c r="K232" s="34">
        <v>2242</v>
      </c>
      <c r="L232" s="34">
        <v>1848</v>
      </c>
      <c r="M232" s="34">
        <v>1544</v>
      </c>
      <c r="N232" s="34">
        <v>1296</v>
      </c>
      <c r="O232" s="34">
        <v>1129</v>
      </c>
      <c r="P232" s="34">
        <v>992</v>
      </c>
      <c r="Q232" s="34">
        <v>884</v>
      </c>
      <c r="R232" s="34">
        <v>799</v>
      </c>
      <c r="S232" s="34">
        <v>736</v>
      </c>
      <c r="T232" s="34">
        <v>691</v>
      </c>
      <c r="U232" s="34">
        <v>585</v>
      </c>
      <c r="V232" s="34">
        <v>384</v>
      </c>
      <c r="W232" s="34">
        <v>202</v>
      </c>
      <c r="X232" s="34">
        <v>113</v>
      </c>
      <c r="Y232" s="41">
        <v>0</v>
      </c>
    </row>
    <row r="233" spans="1:25" x14ac:dyDescent="0.25">
      <c r="A233" s="31">
        <v>14</v>
      </c>
      <c r="B233" s="32">
        <v>50</v>
      </c>
      <c r="C233" s="34">
        <v>3808</v>
      </c>
      <c r="D233" s="34">
        <v>3676</v>
      </c>
      <c r="E233" s="34">
        <v>3552</v>
      </c>
      <c r="F233" s="34">
        <v>3413</v>
      </c>
      <c r="G233" s="34">
        <v>3338</v>
      </c>
      <c r="H233" s="34">
        <v>3250</v>
      </c>
      <c r="I233" s="34">
        <v>3129</v>
      </c>
      <c r="J233" s="34">
        <v>2951</v>
      </c>
      <c r="K233" s="34">
        <v>2557</v>
      </c>
      <c r="L233" s="34">
        <v>2195</v>
      </c>
      <c r="M233" s="34">
        <v>1919</v>
      </c>
      <c r="N233" s="34">
        <v>1710</v>
      </c>
      <c r="O233" s="34">
        <v>1527</v>
      </c>
      <c r="P233" s="34">
        <v>1363</v>
      </c>
      <c r="Q233" s="34">
        <v>1230</v>
      </c>
      <c r="R233" s="34">
        <v>1114</v>
      </c>
      <c r="S233" s="34">
        <v>1035</v>
      </c>
      <c r="T233" s="34">
        <v>930</v>
      </c>
      <c r="U233" s="34">
        <v>790</v>
      </c>
      <c r="V233" s="34">
        <v>565</v>
      </c>
      <c r="W233" s="34">
        <v>310</v>
      </c>
      <c r="X233" s="34">
        <v>185</v>
      </c>
      <c r="Y233" s="41">
        <v>0</v>
      </c>
    </row>
    <row r="234" spans="1:25" x14ac:dyDescent="0.25">
      <c r="A234" s="31">
        <v>14</v>
      </c>
      <c r="B234" s="32">
        <v>100</v>
      </c>
      <c r="C234" s="34">
        <v>4244</v>
      </c>
      <c r="D234" s="34">
        <v>4060</v>
      </c>
      <c r="E234" s="34">
        <v>3897</v>
      </c>
      <c r="F234" s="34">
        <v>3721</v>
      </c>
      <c r="G234" s="34">
        <v>3617</v>
      </c>
      <c r="H234" s="34">
        <v>3500</v>
      </c>
      <c r="I234" s="34">
        <v>3371</v>
      </c>
      <c r="J234" s="34">
        <v>3206</v>
      </c>
      <c r="K234" s="34">
        <v>2909</v>
      </c>
      <c r="L234" s="34">
        <v>2586</v>
      </c>
      <c r="M234" s="34">
        <v>2280</v>
      </c>
      <c r="N234" s="34">
        <v>1961</v>
      </c>
      <c r="O234" s="34">
        <v>1791</v>
      </c>
      <c r="P234" s="34">
        <v>1575</v>
      </c>
      <c r="Q234" s="34">
        <v>1469</v>
      </c>
      <c r="R234" s="34">
        <v>1262</v>
      </c>
      <c r="S234" s="34">
        <v>1193</v>
      </c>
      <c r="T234" s="34">
        <v>1023</v>
      </c>
      <c r="U234" s="34">
        <v>811</v>
      </c>
      <c r="V234" s="40">
        <v>595</v>
      </c>
      <c r="W234" s="40">
        <v>342</v>
      </c>
      <c r="X234" s="40">
        <v>204</v>
      </c>
      <c r="Y234" s="32">
        <v>0</v>
      </c>
    </row>
    <row r="235" spans="1:25" x14ac:dyDescent="0.25">
      <c r="A235" s="31">
        <v>14</v>
      </c>
      <c r="B235" s="32">
        <v>300</v>
      </c>
      <c r="C235" s="34">
        <v>4479</v>
      </c>
      <c r="D235" s="34">
        <v>4268</v>
      </c>
      <c r="E235" s="34">
        <v>4074</v>
      </c>
      <c r="F235" s="34">
        <v>3858</v>
      </c>
      <c r="G235" s="34">
        <v>3727</v>
      </c>
      <c r="H235" s="34">
        <v>3586</v>
      </c>
      <c r="I235" s="34">
        <v>3448</v>
      </c>
      <c r="J235" s="34">
        <v>3301</v>
      </c>
      <c r="K235" s="34">
        <v>2996</v>
      </c>
      <c r="L235" s="34">
        <v>2701</v>
      </c>
      <c r="M235" s="34">
        <v>2358</v>
      </c>
      <c r="N235" s="40">
        <v>2100</v>
      </c>
      <c r="O235" s="40">
        <v>1970</v>
      </c>
      <c r="P235" s="40">
        <v>1756</v>
      </c>
      <c r="Q235" s="40">
        <v>1651</v>
      </c>
      <c r="R235" s="40">
        <v>1481</v>
      </c>
      <c r="S235" s="40">
        <v>1308</v>
      </c>
      <c r="T235" s="40">
        <v>1143</v>
      </c>
      <c r="U235" s="40">
        <v>842</v>
      </c>
      <c r="V235" s="40">
        <v>615</v>
      </c>
      <c r="W235" s="40">
        <v>347</v>
      </c>
      <c r="X235" s="40">
        <v>217</v>
      </c>
      <c r="Y235" s="32">
        <v>0</v>
      </c>
    </row>
    <row r="236" spans="1:25" x14ac:dyDescent="0.25">
      <c r="A236" s="31">
        <v>14</v>
      </c>
      <c r="B236" s="32">
        <v>500</v>
      </c>
      <c r="C236" s="34">
        <v>4680</v>
      </c>
      <c r="D236" s="34">
        <v>4404</v>
      </c>
      <c r="E236" s="34">
        <v>4184</v>
      </c>
      <c r="F236" s="34">
        <v>3876</v>
      </c>
      <c r="G236" s="34">
        <v>3713</v>
      </c>
      <c r="H236" s="34">
        <v>3545</v>
      </c>
      <c r="I236" s="34">
        <v>3401</v>
      </c>
      <c r="J236" s="34">
        <v>3249</v>
      </c>
      <c r="K236" s="34">
        <v>3001</v>
      </c>
      <c r="L236" s="34">
        <v>2641</v>
      </c>
      <c r="M236" s="40">
        <v>2373</v>
      </c>
      <c r="N236" s="40">
        <v>2089</v>
      </c>
      <c r="O236" s="40">
        <v>1825</v>
      </c>
      <c r="P236" s="40">
        <v>1559</v>
      </c>
      <c r="Q236" s="40">
        <v>1422</v>
      </c>
      <c r="R236" s="40">
        <v>1273</v>
      </c>
      <c r="S236" s="40">
        <v>1087</v>
      </c>
      <c r="T236" s="40">
        <v>1017</v>
      </c>
      <c r="U236" s="42">
        <v>319</v>
      </c>
      <c r="V236" s="42">
        <v>298</v>
      </c>
      <c r="W236" s="40">
        <v>192</v>
      </c>
      <c r="X236" s="40">
        <v>119</v>
      </c>
      <c r="Y236" s="32">
        <v>0</v>
      </c>
    </row>
    <row r="237" spans="1:25" x14ac:dyDescent="0.25">
      <c r="A237" s="31">
        <v>14</v>
      </c>
      <c r="B237" s="32">
        <v>750</v>
      </c>
      <c r="C237" s="34">
        <v>5155</v>
      </c>
      <c r="D237" s="34">
        <v>4929</v>
      </c>
      <c r="E237" s="34">
        <v>4487</v>
      </c>
      <c r="F237" s="34">
        <v>3917</v>
      </c>
      <c r="G237" s="34">
        <v>3666</v>
      </c>
      <c r="H237" s="40">
        <v>3417</v>
      </c>
      <c r="I237" s="40">
        <v>3241</v>
      </c>
      <c r="J237" s="40">
        <v>3056</v>
      </c>
      <c r="K237" s="40">
        <v>2841</v>
      </c>
      <c r="L237" s="40">
        <v>2505</v>
      </c>
      <c r="M237" s="40">
        <v>2177</v>
      </c>
      <c r="N237" s="40">
        <v>1849</v>
      </c>
      <c r="O237" s="40">
        <v>1591</v>
      </c>
      <c r="P237" s="40">
        <v>1332</v>
      </c>
      <c r="Q237" s="40">
        <v>1131</v>
      </c>
      <c r="R237" s="40">
        <v>885</v>
      </c>
      <c r="S237" s="40">
        <v>769</v>
      </c>
      <c r="T237" s="42">
        <v>502</v>
      </c>
      <c r="U237" s="42">
        <v>265</v>
      </c>
      <c r="V237" s="40">
        <v>135</v>
      </c>
      <c r="W237" s="40">
        <v>79</v>
      </c>
      <c r="X237" s="34">
        <v>77</v>
      </c>
      <c r="Y237" s="41">
        <v>0</v>
      </c>
    </row>
    <row r="238" spans="1:25" x14ac:dyDescent="0.25">
      <c r="A238" s="31">
        <v>14</v>
      </c>
      <c r="B238" s="32">
        <v>1000</v>
      </c>
      <c r="C238" s="34">
        <v>6001</v>
      </c>
      <c r="D238" s="40">
        <v>5588</v>
      </c>
      <c r="E238" s="40">
        <v>4980</v>
      </c>
      <c r="F238" s="40">
        <v>4089</v>
      </c>
      <c r="G238" s="40">
        <v>3670</v>
      </c>
      <c r="H238" s="40">
        <v>3378</v>
      </c>
      <c r="I238" s="40">
        <v>3049</v>
      </c>
      <c r="J238" s="40">
        <v>2693</v>
      </c>
      <c r="K238" s="40">
        <v>2399</v>
      </c>
      <c r="L238" s="40">
        <v>2051</v>
      </c>
      <c r="M238" s="40">
        <v>1731</v>
      </c>
      <c r="N238" s="40">
        <v>1466</v>
      </c>
      <c r="O238" s="40">
        <v>1244</v>
      </c>
      <c r="P238" s="40">
        <v>1017</v>
      </c>
      <c r="Q238" s="40">
        <v>854</v>
      </c>
      <c r="R238" s="42">
        <v>745</v>
      </c>
      <c r="S238" s="42">
        <v>649</v>
      </c>
      <c r="T238" s="40">
        <v>295</v>
      </c>
      <c r="U238" s="40">
        <v>224</v>
      </c>
      <c r="V238" s="34">
        <v>102</v>
      </c>
      <c r="W238" s="34">
        <v>67</v>
      </c>
      <c r="X238" s="34">
        <v>49</v>
      </c>
      <c r="Y238" s="41">
        <v>0</v>
      </c>
    </row>
    <row r="239" spans="1:25" x14ac:dyDescent="0.25">
      <c r="A239" s="31">
        <v>14</v>
      </c>
      <c r="B239" s="32">
        <v>1500</v>
      </c>
      <c r="C239" s="40">
        <v>6787</v>
      </c>
      <c r="D239" s="40">
        <v>6145</v>
      </c>
      <c r="E239" s="40">
        <v>5185</v>
      </c>
      <c r="F239" s="40">
        <v>4364</v>
      </c>
      <c r="G239" s="40">
        <v>3798</v>
      </c>
      <c r="H239" s="40">
        <v>3406</v>
      </c>
      <c r="I239" s="40">
        <v>3003</v>
      </c>
      <c r="J239" s="40">
        <v>2583</v>
      </c>
      <c r="K239" s="40">
        <v>2218</v>
      </c>
      <c r="L239" s="40">
        <v>1807</v>
      </c>
      <c r="M239" s="40">
        <v>1498</v>
      </c>
      <c r="N239" s="40">
        <v>1200</v>
      </c>
      <c r="O239" s="40">
        <v>971</v>
      </c>
      <c r="P239" s="40">
        <v>765</v>
      </c>
      <c r="Q239" s="42">
        <v>555</v>
      </c>
      <c r="R239" s="42">
        <v>196</v>
      </c>
      <c r="S239" s="40">
        <v>180</v>
      </c>
      <c r="T239" s="40">
        <v>138</v>
      </c>
      <c r="U239" s="40">
        <v>119</v>
      </c>
      <c r="V239" s="34">
        <v>53</v>
      </c>
      <c r="W239" s="34">
        <v>43</v>
      </c>
      <c r="X239" s="34">
        <v>34</v>
      </c>
      <c r="Y239" s="41">
        <v>0</v>
      </c>
    </row>
    <row r="240" spans="1:25" x14ac:dyDescent="0.25">
      <c r="A240" s="31">
        <v>14</v>
      </c>
      <c r="B240" s="32">
        <v>2000</v>
      </c>
      <c r="C240" s="40">
        <v>7188</v>
      </c>
      <c r="D240" s="40">
        <v>6465</v>
      </c>
      <c r="E240" s="40">
        <v>5394</v>
      </c>
      <c r="F240" s="40">
        <v>4496</v>
      </c>
      <c r="G240" s="40">
        <v>3995</v>
      </c>
      <c r="H240" s="40">
        <v>3628</v>
      </c>
      <c r="I240" s="40">
        <v>3201</v>
      </c>
      <c r="J240" s="40">
        <v>2686</v>
      </c>
      <c r="K240" s="40">
        <v>2221</v>
      </c>
      <c r="L240" s="40">
        <v>1751</v>
      </c>
      <c r="M240" s="40">
        <v>1444</v>
      </c>
      <c r="N240" s="40">
        <v>1121</v>
      </c>
      <c r="O240" s="40">
        <v>879</v>
      </c>
      <c r="P240" s="40">
        <v>603</v>
      </c>
      <c r="Q240" s="42">
        <v>419</v>
      </c>
      <c r="R240" s="42">
        <v>176</v>
      </c>
      <c r="S240" s="42">
        <v>125</v>
      </c>
      <c r="T240" s="34">
        <v>108</v>
      </c>
      <c r="U240" s="34">
        <v>93</v>
      </c>
      <c r="V240" s="34">
        <v>58</v>
      </c>
      <c r="W240" s="34">
        <v>41</v>
      </c>
      <c r="X240" s="34">
        <v>26</v>
      </c>
      <c r="Y240" s="41">
        <v>0</v>
      </c>
    </row>
    <row r="241" spans="1:25" x14ac:dyDescent="0.25">
      <c r="A241" s="31">
        <v>14</v>
      </c>
      <c r="B241" s="32">
        <v>2500</v>
      </c>
      <c r="C241" s="34">
        <v>7630</v>
      </c>
      <c r="D241" s="34">
        <v>6781</v>
      </c>
      <c r="E241" s="40">
        <v>5886</v>
      </c>
      <c r="F241" s="40">
        <v>4902</v>
      </c>
      <c r="G241" s="40">
        <v>4465</v>
      </c>
      <c r="H241" s="40">
        <v>4006</v>
      </c>
      <c r="I241" s="40">
        <v>3295</v>
      </c>
      <c r="J241" s="40">
        <v>2832</v>
      </c>
      <c r="K241" s="40">
        <v>2224</v>
      </c>
      <c r="L241" s="40">
        <v>1773</v>
      </c>
      <c r="M241" s="40">
        <v>1391</v>
      </c>
      <c r="N241" s="40">
        <v>1024</v>
      </c>
      <c r="O241" s="40">
        <v>831</v>
      </c>
      <c r="P241" s="42">
        <v>564</v>
      </c>
      <c r="Q241" s="42">
        <v>312</v>
      </c>
      <c r="R241" s="40">
        <v>213</v>
      </c>
      <c r="S241" s="40">
        <v>139</v>
      </c>
      <c r="T241" s="40">
        <v>119</v>
      </c>
      <c r="U241" s="34">
        <v>102</v>
      </c>
      <c r="V241" s="34">
        <v>62</v>
      </c>
      <c r="W241" s="34">
        <v>42</v>
      </c>
      <c r="X241" s="34">
        <v>27</v>
      </c>
      <c r="Y241" s="41">
        <v>0</v>
      </c>
    </row>
    <row r="242" spans="1:25" x14ac:dyDescent="0.25">
      <c r="A242" s="31">
        <v>14</v>
      </c>
      <c r="B242" s="32">
        <v>3000</v>
      </c>
      <c r="C242" s="34">
        <v>7824</v>
      </c>
      <c r="D242" s="34">
        <v>7031</v>
      </c>
      <c r="E242" s="40">
        <v>6139</v>
      </c>
      <c r="F242" s="40">
        <v>5394</v>
      </c>
      <c r="G242" s="40">
        <v>4701</v>
      </c>
      <c r="H242" s="40">
        <v>4236</v>
      </c>
      <c r="I242" s="40">
        <v>3320</v>
      </c>
      <c r="J242" s="40">
        <v>2894</v>
      </c>
      <c r="K242" s="40">
        <v>2333</v>
      </c>
      <c r="L242" s="40">
        <v>1831</v>
      </c>
      <c r="M242" s="40">
        <v>1396</v>
      </c>
      <c r="N242" s="40">
        <v>1082</v>
      </c>
      <c r="O242" s="40">
        <v>865</v>
      </c>
      <c r="P242" s="42">
        <v>604</v>
      </c>
      <c r="Q242" s="42">
        <v>318</v>
      </c>
      <c r="R242" s="42">
        <v>275</v>
      </c>
      <c r="S242" s="40">
        <v>237</v>
      </c>
      <c r="T242" s="40">
        <v>201</v>
      </c>
      <c r="U242" s="34">
        <v>146</v>
      </c>
      <c r="V242" s="34">
        <v>80</v>
      </c>
      <c r="W242" s="34">
        <v>47</v>
      </c>
      <c r="X242" s="34">
        <v>31</v>
      </c>
      <c r="Y242" s="41">
        <v>0</v>
      </c>
    </row>
    <row r="243" spans="1:25" x14ac:dyDescent="0.25">
      <c r="A243" s="31">
        <v>14</v>
      </c>
      <c r="B243" s="32">
        <v>3500</v>
      </c>
      <c r="C243" s="40">
        <v>8111</v>
      </c>
      <c r="D243" s="40">
        <v>7338</v>
      </c>
      <c r="E243" s="40">
        <v>6268</v>
      </c>
      <c r="F243" s="40">
        <v>5532</v>
      </c>
      <c r="G243" s="40">
        <v>4884</v>
      </c>
      <c r="H243" s="40">
        <v>4356</v>
      </c>
      <c r="I243" s="40">
        <v>3417</v>
      </c>
      <c r="J243" s="40">
        <v>2963</v>
      </c>
      <c r="K243" s="40">
        <v>2433</v>
      </c>
      <c r="L243" s="40">
        <v>1897</v>
      </c>
      <c r="M243" s="40">
        <v>1444</v>
      </c>
      <c r="N243" s="40">
        <v>1140</v>
      </c>
      <c r="O243" s="40">
        <v>927</v>
      </c>
      <c r="P243" s="40">
        <v>710</v>
      </c>
      <c r="Q243" s="40">
        <v>491</v>
      </c>
      <c r="R243" s="40">
        <v>420</v>
      </c>
      <c r="S243" s="40">
        <v>340</v>
      </c>
      <c r="T243" s="34">
        <v>281</v>
      </c>
      <c r="U243" s="34">
        <v>200</v>
      </c>
      <c r="V243" s="34">
        <v>108</v>
      </c>
      <c r="W243" s="34">
        <v>61</v>
      </c>
      <c r="X243" s="34">
        <v>32</v>
      </c>
      <c r="Y243" s="41">
        <v>0</v>
      </c>
    </row>
    <row r="244" spans="1:25" x14ac:dyDescent="0.25">
      <c r="A244" s="31">
        <v>14</v>
      </c>
      <c r="B244" s="32">
        <v>4000</v>
      </c>
      <c r="C244" s="40">
        <v>8329</v>
      </c>
      <c r="D244" s="40">
        <v>7457</v>
      </c>
      <c r="E244" s="40">
        <v>6488</v>
      </c>
      <c r="F244" s="40">
        <v>5706</v>
      </c>
      <c r="G244" s="40">
        <v>5185</v>
      </c>
      <c r="H244" s="40">
        <v>4498</v>
      </c>
      <c r="I244" s="40">
        <v>3518</v>
      </c>
      <c r="J244" s="40">
        <v>2992</v>
      </c>
      <c r="K244" s="40">
        <v>2511</v>
      </c>
      <c r="L244" s="40">
        <v>2029</v>
      </c>
      <c r="M244" s="40">
        <v>1603</v>
      </c>
      <c r="N244" s="40">
        <v>1307</v>
      </c>
      <c r="O244" s="40">
        <v>1103</v>
      </c>
      <c r="P244" s="40">
        <v>854</v>
      </c>
      <c r="Q244" s="40">
        <v>722</v>
      </c>
      <c r="R244" s="40">
        <v>590</v>
      </c>
      <c r="S244" s="40">
        <v>467</v>
      </c>
      <c r="T244" s="34">
        <v>365</v>
      </c>
      <c r="U244" s="34">
        <v>245</v>
      </c>
      <c r="V244" s="34">
        <v>125</v>
      </c>
      <c r="W244" s="34">
        <v>65</v>
      </c>
      <c r="X244" s="34">
        <v>33</v>
      </c>
      <c r="Y244" s="41">
        <v>0</v>
      </c>
    </row>
    <row r="245" spans="1:25" x14ac:dyDescent="0.25">
      <c r="A245" s="31">
        <v>14</v>
      </c>
      <c r="B245" s="32">
        <v>4500</v>
      </c>
      <c r="C245" s="34">
        <v>8718</v>
      </c>
      <c r="D245" s="34">
        <v>7543</v>
      </c>
      <c r="E245" s="40">
        <v>6537</v>
      </c>
      <c r="F245" s="40">
        <v>5730</v>
      </c>
      <c r="G245" s="40">
        <v>5344</v>
      </c>
      <c r="H245" s="40">
        <v>4748</v>
      </c>
      <c r="I245" s="40">
        <v>3789</v>
      </c>
      <c r="J245" s="40">
        <v>3092</v>
      </c>
      <c r="K245" s="40">
        <v>2558</v>
      </c>
      <c r="L245" s="40">
        <v>2105</v>
      </c>
      <c r="M245" s="40">
        <v>1709</v>
      </c>
      <c r="N245" s="40">
        <v>1449</v>
      </c>
      <c r="O245" s="40">
        <v>1207</v>
      </c>
      <c r="P245" s="40">
        <v>1005</v>
      </c>
      <c r="Q245" s="40">
        <v>835</v>
      </c>
      <c r="R245" s="40">
        <v>676</v>
      </c>
      <c r="S245" s="40">
        <v>558</v>
      </c>
      <c r="T245" s="34">
        <v>421</v>
      </c>
      <c r="U245" s="34">
        <v>287</v>
      </c>
      <c r="V245" s="34">
        <v>148</v>
      </c>
      <c r="W245" s="34">
        <v>70</v>
      </c>
      <c r="X245" s="34">
        <v>34</v>
      </c>
      <c r="Y245" s="41">
        <v>0</v>
      </c>
    </row>
    <row r="246" spans="1:25" x14ac:dyDescent="0.25">
      <c r="A246" s="31">
        <v>14</v>
      </c>
      <c r="B246" s="32">
        <v>5000</v>
      </c>
      <c r="C246" s="40">
        <v>8978</v>
      </c>
      <c r="D246" s="40">
        <v>7649</v>
      </c>
      <c r="E246" s="40">
        <v>6594</v>
      </c>
      <c r="F246" s="40">
        <v>5732</v>
      </c>
      <c r="G246" s="40">
        <v>5451</v>
      </c>
      <c r="H246" s="40">
        <v>4912</v>
      </c>
      <c r="I246" s="40">
        <v>3963</v>
      </c>
      <c r="J246" s="40">
        <v>3214</v>
      </c>
      <c r="K246" s="40">
        <v>2692</v>
      </c>
      <c r="L246" s="40">
        <v>2161</v>
      </c>
      <c r="M246" s="40">
        <v>1745</v>
      </c>
      <c r="N246" s="40">
        <v>1510</v>
      </c>
      <c r="O246" s="40">
        <v>1280</v>
      </c>
      <c r="P246" s="40">
        <v>1062</v>
      </c>
      <c r="Q246" s="40">
        <v>916</v>
      </c>
      <c r="R246" s="40">
        <v>746</v>
      </c>
      <c r="S246" s="40">
        <v>599</v>
      </c>
      <c r="T246" s="40">
        <v>465</v>
      </c>
      <c r="U246" s="34">
        <v>329</v>
      </c>
      <c r="V246" s="34">
        <v>174</v>
      </c>
      <c r="W246" s="34">
        <v>76</v>
      </c>
      <c r="X246" s="34">
        <v>36</v>
      </c>
      <c r="Y246" s="41">
        <v>0</v>
      </c>
    </row>
    <row r="247" spans="1:25" x14ac:dyDescent="0.25">
      <c r="A247" s="31">
        <v>14</v>
      </c>
      <c r="B247" s="32">
        <v>5500</v>
      </c>
      <c r="C247" s="40">
        <v>9249</v>
      </c>
      <c r="D247" s="40">
        <v>7760</v>
      </c>
      <c r="E247" s="40">
        <v>6609</v>
      </c>
      <c r="F247" s="40">
        <v>5753</v>
      </c>
      <c r="G247" s="40">
        <v>5505</v>
      </c>
      <c r="H247" s="40">
        <v>4944</v>
      </c>
      <c r="I247" s="40">
        <v>4043</v>
      </c>
      <c r="J247" s="40">
        <v>3419</v>
      </c>
      <c r="K247" s="40">
        <v>3026</v>
      </c>
      <c r="L247" s="40">
        <v>2433</v>
      </c>
      <c r="M247" s="40">
        <v>1989</v>
      </c>
      <c r="N247" s="40">
        <v>1746</v>
      </c>
      <c r="O247" s="40">
        <v>1475</v>
      </c>
      <c r="P247" s="40">
        <v>1298</v>
      </c>
      <c r="Q247" s="40">
        <v>1107</v>
      </c>
      <c r="R247" s="40">
        <v>940</v>
      </c>
      <c r="S247" s="40">
        <v>746</v>
      </c>
      <c r="T247" s="40">
        <v>572</v>
      </c>
      <c r="U247" s="34">
        <v>390</v>
      </c>
      <c r="V247" s="34">
        <v>206</v>
      </c>
      <c r="W247" s="34">
        <v>87</v>
      </c>
      <c r="X247" s="34">
        <v>40</v>
      </c>
      <c r="Y247" s="41">
        <v>0</v>
      </c>
    </row>
    <row r="248" spans="1:25" x14ac:dyDescent="0.25">
      <c r="A248" s="31">
        <v>14</v>
      </c>
      <c r="B248" s="32">
        <v>6000</v>
      </c>
      <c r="C248" s="40">
        <v>9831</v>
      </c>
      <c r="D248" s="40">
        <v>8166</v>
      </c>
      <c r="E248" s="40">
        <v>6738</v>
      </c>
      <c r="F248" s="40">
        <v>5864</v>
      </c>
      <c r="G248" s="40">
        <v>5509</v>
      </c>
      <c r="H248" s="40">
        <v>4956</v>
      </c>
      <c r="I248" s="40">
        <v>4110</v>
      </c>
      <c r="J248" s="40">
        <v>3463</v>
      </c>
      <c r="K248" s="40">
        <v>3170</v>
      </c>
      <c r="L248" s="40">
        <v>2575</v>
      </c>
      <c r="M248" s="40">
        <v>2209</v>
      </c>
      <c r="N248" s="40">
        <v>1986</v>
      </c>
      <c r="O248" s="40">
        <v>1686</v>
      </c>
      <c r="P248" s="40">
        <v>1420</v>
      </c>
      <c r="Q248" s="40">
        <v>1253</v>
      </c>
      <c r="R248" s="34">
        <v>1082</v>
      </c>
      <c r="S248" s="34">
        <v>893</v>
      </c>
      <c r="T248" s="34">
        <v>709</v>
      </c>
      <c r="U248" s="34">
        <v>468</v>
      </c>
      <c r="V248" s="34">
        <v>242</v>
      </c>
      <c r="W248" s="34">
        <v>101</v>
      </c>
      <c r="X248" s="34">
        <v>47</v>
      </c>
      <c r="Y248" s="41">
        <v>0</v>
      </c>
    </row>
    <row r="249" spans="1:25" x14ac:dyDescent="0.25">
      <c r="A249" s="31">
        <v>14</v>
      </c>
      <c r="B249" s="32">
        <v>6500</v>
      </c>
      <c r="C249" s="34">
        <v>10687</v>
      </c>
      <c r="D249" s="40">
        <v>8715</v>
      </c>
      <c r="E249" s="40">
        <v>6808</v>
      </c>
      <c r="F249" s="40">
        <v>5894</v>
      </c>
      <c r="G249" s="40">
        <v>5553</v>
      </c>
      <c r="H249" s="40">
        <v>4972</v>
      </c>
      <c r="I249" s="40">
        <v>4129</v>
      </c>
      <c r="J249" s="40">
        <v>3544</v>
      </c>
      <c r="K249" s="40">
        <v>3208</v>
      </c>
      <c r="L249" s="40">
        <v>2617</v>
      </c>
      <c r="M249" s="40">
        <v>2326</v>
      </c>
      <c r="N249" s="40">
        <v>2201</v>
      </c>
      <c r="O249" s="40">
        <v>1908</v>
      </c>
      <c r="P249" s="40">
        <v>1609</v>
      </c>
      <c r="Q249" s="40">
        <v>1448</v>
      </c>
      <c r="R249" s="34">
        <v>1241</v>
      </c>
      <c r="S249" s="34">
        <v>1034</v>
      </c>
      <c r="T249" s="34">
        <v>834</v>
      </c>
      <c r="U249" s="34">
        <v>539</v>
      </c>
      <c r="V249" s="34">
        <v>280</v>
      </c>
      <c r="W249" s="34">
        <v>118</v>
      </c>
      <c r="X249" s="34">
        <v>55</v>
      </c>
      <c r="Y249" s="41">
        <v>0</v>
      </c>
    </row>
    <row r="250" spans="1:25" x14ac:dyDescent="0.25">
      <c r="A250" s="31">
        <v>14</v>
      </c>
      <c r="B250" s="32">
        <v>7000</v>
      </c>
      <c r="C250" s="40">
        <v>11414</v>
      </c>
      <c r="D250" s="40">
        <v>9448</v>
      </c>
      <c r="E250" s="40">
        <v>7169</v>
      </c>
      <c r="F250" s="34">
        <v>6008</v>
      </c>
      <c r="G250" s="40">
        <v>5694</v>
      </c>
      <c r="H250" s="40">
        <v>4993</v>
      </c>
      <c r="I250" s="40">
        <v>4140</v>
      </c>
      <c r="J250" s="40">
        <v>3605</v>
      </c>
      <c r="K250" s="40">
        <v>3202</v>
      </c>
      <c r="L250" s="40">
        <v>2682</v>
      </c>
      <c r="M250" s="40">
        <v>2339</v>
      </c>
      <c r="N250" s="40">
        <v>2261</v>
      </c>
      <c r="O250" s="34">
        <v>2018</v>
      </c>
      <c r="P250" s="34">
        <v>1745</v>
      </c>
      <c r="Q250" s="34">
        <v>1556</v>
      </c>
      <c r="R250" s="34">
        <v>1343</v>
      </c>
      <c r="S250" s="34">
        <v>1129</v>
      </c>
      <c r="T250" s="34">
        <v>924</v>
      </c>
      <c r="U250" s="34">
        <v>603</v>
      </c>
      <c r="V250" s="34">
        <v>317</v>
      </c>
      <c r="W250" s="34">
        <v>136</v>
      </c>
      <c r="X250" s="34">
        <v>64</v>
      </c>
      <c r="Y250" s="41">
        <v>0</v>
      </c>
    </row>
    <row r="251" spans="1:25" x14ac:dyDescent="0.25">
      <c r="A251" s="31">
        <v>14</v>
      </c>
      <c r="B251" s="32">
        <v>7500</v>
      </c>
      <c r="C251" s="40">
        <v>12199</v>
      </c>
      <c r="D251" s="40">
        <v>10064</v>
      </c>
      <c r="E251" s="40">
        <v>7714</v>
      </c>
      <c r="F251" s="40">
        <v>6137</v>
      </c>
      <c r="G251" s="40">
        <v>5700</v>
      </c>
      <c r="H251" s="40">
        <v>5016</v>
      </c>
      <c r="I251" s="40">
        <v>4159</v>
      </c>
      <c r="J251" s="40">
        <v>3729</v>
      </c>
      <c r="K251" s="40">
        <v>3240</v>
      </c>
      <c r="L251" s="40">
        <v>2689</v>
      </c>
      <c r="M251" s="40">
        <v>2350</v>
      </c>
      <c r="N251" s="40">
        <v>2270</v>
      </c>
      <c r="O251" s="34">
        <v>2120</v>
      </c>
      <c r="P251" s="34">
        <v>1836</v>
      </c>
      <c r="Q251" s="34">
        <v>1638</v>
      </c>
      <c r="R251" s="34">
        <v>1433</v>
      </c>
      <c r="S251" s="34">
        <v>1216</v>
      </c>
      <c r="T251" s="34">
        <v>1013</v>
      </c>
      <c r="U251" s="34">
        <v>666</v>
      </c>
      <c r="V251" s="34">
        <v>347</v>
      </c>
      <c r="W251" s="34">
        <v>148</v>
      </c>
      <c r="X251" s="34">
        <v>70</v>
      </c>
      <c r="Y251" s="41">
        <v>0</v>
      </c>
    </row>
    <row r="252" spans="1:25" x14ac:dyDescent="0.25">
      <c r="A252" s="31">
        <v>14</v>
      </c>
      <c r="B252" s="32">
        <v>8000</v>
      </c>
      <c r="C252" s="34">
        <v>12874</v>
      </c>
      <c r="D252" s="34">
        <v>10581</v>
      </c>
      <c r="E252" s="40">
        <v>8108</v>
      </c>
      <c r="F252" s="40">
        <v>6231</v>
      </c>
      <c r="G252" s="34">
        <v>5878</v>
      </c>
      <c r="H252" s="40">
        <v>5214</v>
      </c>
      <c r="I252" s="40">
        <v>4370</v>
      </c>
      <c r="J252" s="40">
        <v>3809</v>
      </c>
      <c r="K252" s="40">
        <v>3276</v>
      </c>
      <c r="L252" s="40">
        <v>2806</v>
      </c>
      <c r="M252" s="40">
        <v>2508</v>
      </c>
      <c r="N252" s="40">
        <v>2342</v>
      </c>
      <c r="O252" s="34">
        <v>2217</v>
      </c>
      <c r="P252" s="34">
        <v>2033</v>
      </c>
      <c r="Q252" s="34">
        <v>1803</v>
      </c>
      <c r="R252" s="34">
        <v>1565</v>
      </c>
      <c r="S252" s="34">
        <v>1338</v>
      </c>
      <c r="T252" s="34">
        <v>1116</v>
      </c>
      <c r="U252" s="34">
        <v>733</v>
      </c>
      <c r="V252" s="34">
        <v>376</v>
      </c>
      <c r="W252" s="34">
        <v>159</v>
      </c>
      <c r="X252" s="34">
        <v>75</v>
      </c>
      <c r="Y252" s="41">
        <v>0</v>
      </c>
    </row>
    <row r="253" spans="1:25" x14ac:dyDescent="0.25">
      <c r="A253" s="40"/>
      <c r="B253" s="32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32"/>
    </row>
    <row r="254" spans="1:25" x14ac:dyDescent="0.25">
      <c r="A254" s="31">
        <v>16</v>
      </c>
      <c r="B254" s="32">
        <v>0</v>
      </c>
      <c r="C254" s="34">
        <v>2869</v>
      </c>
      <c r="D254" s="34">
        <v>2780</v>
      </c>
      <c r="E254" s="34">
        <v>2691</v>
      </c>
      <c r="F254" s="34">
        <v>2603</v>
      </c>
      <c r="G254" s="34">
        <v>2556</v>
      </c>
      <c r="H254" s="34">
        <v>2500</v>
      </c>
      <c r="I254" s="34">
        <v>2417</v>
      </c>
      <c r="J254" s="34">
        <v>2276</v>
      </c>
      <c r="K254" s="34">
        <v>1978</v>
      </c>
      <c r="L254" s="34">
        <v>1667</v>
      </c>
      <c r="M254" s="34">
        <v>1411</v>
      </c>
      <c r="N254" s="34">
        <v>1199</v>
      </c>
      <c r="O254" s="34">
        <v>1036</v>
      </c>
      <c r="P254" s="34">
        <v>903</v>
      </c>
      <c r="Q254" s="34">
        <v>820</v>
      </c>
      <c r="R254" s="34">
        <v>739</v>
      </c>
      <c r="S254" s="34">
        <v>668</v>
      </c>
      <c r="T254" s="34">
        <v>640</v>
      </c>
      <c r="U254" s="34">
        <v>535</v>
      </c>
      <c r="V254" s="34">
        <v>317</v>
      </c>
      <c r="W254" s="34">
        <v>165</v>
      </c>
      <c r="X254" s="34">
        <v>92</v>
      </c>
      <c r="Y254" s="41">
        <v>0</v>
      </c>
    </row>
    <row r="255" spans="1:25" x14ac:dyDescent="0.25">
      <c r="A255" s="31">
        <v>16</v>
      </c>
      <c r="B255" s="32">
        <v>50</v>
      </c>
      <c r="C255" s="34">
        <v>3101</v>
      </c>
      <c r="D255" s="34">
        <v>3014</v>
      </c>
      <c r="E255" s="34">
        <v>2934</v>
      </c>
      <c r="F255" s="34">
        <v>2837</v>
      </c>
      <c r="G255" s="34">
        <v>2785</v>
      </c>
      <c r="H255" s="34">
        <v>2723</v>
      </c>
      <c r="I255" s="34">
        <v>2645</v>
      </c>
      <c r="J255" s="34">
        <v>2508</v>
      </c>
      <c r="K255" s="34">
        <v>2242</v>
      </c>
      <c r="L255" s="34">
        <v>1962</v>
      </c>
      <c r="M255" s="34">
        <v>1719</v>
      </c>
      <c r="N255" s="34">
        <v>1460</v>
      </c>
      <c r="O255" s="34">
        <v>1271</v>
      </c>
      <c r="P255" s="34">
        <v>1132</v>
      </c>
      <c r="Q255" s="34">
        <v>982</v>
      </c>
      <c r="R255" s="34">
        <v>882</v>
      </c>
      <c r="S255" s="34">
        <v>821</v>
      </c>
      <c r="T255" s="34">
        <v>750</v>
      </c>
      <c r="U255" s="34">
        <v>569</v>
      </c>
      <c r="V255" s="34">
        <v>391</v>
      </c>
      <c r="W255" s="34">
        <v>219</v>
      </c>
      <c r="X255" s="34">
        <v>145</v>
      </c>
      <c r="Y255" s="41">
        <v>0</v>
      </c>
    </row>
    <row r="256" spans="1:25" x14ac:dyDescent="0.25">
      <c r="A256" s="31">
        <v>16</v>
      </c>
      <c r="B256" s="32">
        <v>100</v>
      </c>
      <c r="C256" s="34">
        <v>3434</v>
      </c>
      <c r="D256" s="34">
        <v>3308</v>
      </c>
      <c r="E256" s="34">
        <v>3154</v>
      </c>
      <c r="F256" s="34">
        <v>3001</v>
      </c>
      <c r="G256" s="34">
        <v>2897</v>
      </c>
      <c r="H256" s="34">
        <v>2804</v>
      </c>
      <c r="I256" s="34">
        <v>2716</v>
      </c>
      <c r="J256" s="34">
        <v>2551</v>
      </c>
      <c r="K256" s="34">
        <v>2331</v>
      </c>
      <c r="L256" s="34">
        <v>2102</v>
      </c>
      <c r="M256" s="34">
        <v>1818</v>
      </c>
      <c r="N256" s="34">
        <v>1590</v>
      </c>
      <c r="O256" s="34">
        <v>1419</v>
      </c>
      <c r="P256" s="34">
        <v>1254</v>
      </c>
      <c r="Q256" s="34">
        <v>1153</v>
      </c>
      <c r="R256" s="34">
        <v>1024</v>
      </c>
      <c r="S256" s="34">
        <v>951</v>
      </c>
      <c r="T256" s="34">
        <v>846</v>
      </c>
      <c r="U256" s="40">
        <v>617</v>
      </c>
      <c r="V256" s="40">
        <v>418</v>
      </c>
      <c r="W256" s="40">
        <v>244</v>
      </c>
      <c r="X256" s="40">
        <v>166</v>
      </c>
      <c r="Y256" s="32">
        <v>0</v>
      </c>
    </row>
    <row r="257" spans="1:25" x14ac:dyDescent="0.25">
      <c r="A257" s="31">
        <v>16</v>
      </c>
      <c r="B257" s="32">
        <v>300</v>
      </c>
      <c r="C257" s="34">
        <v>3612</v>
      </c>
      <c r="D257" s="34">
        <v>3465</v>
      </c>
      <c r="E257" s="34">
        <v>3314</v>
      </c>
      <c r="F257" s="34">
        <v>3127</v>
      </c>
      <c r="G257" s="34">
        <v>2988</v>
      </c>
      <c r="H257" s="34">
        <v>2833</v>
      </c>
      <c r="I257" s="34">
        <v>2733</v>
      </c>
      <c r="J257" s="34">
        <v>2585</v>
      </c>
      <c r="K257" s="34">
        <v>2414</v>
      </c>
      <c r="L257" s="34">
        <v>2206</v>
      </c>
      <c r="M257" s="34">
        <v>1909</v>
      </c>
      <c r="N257" s="40">
        <v>1718</v>
      </c>
      <c r="O257" s="40">
        <v>1562</v>
      </c>
      <c r="P257" s="40">
        <v>1451</v>
      </c>
      <c r="Q257" s="40">
        <v>1257</v>
      </c>
      <c r="R257" s="40">
        <v>1129</v>
      </c>
      <c r="S257" s="40">
        <v>1019</v>
      </c>
      <c r="T257" s="40">
        <v>859</v>
      </c>
      <c r="U257" s="40">
        <v>618</v>
      </c>
      <c r="V257" s="40">
        <v>463</v>
      </c>
      <c r="W257" s="40">
        <v>259</v>
      </c>
      <c r="X257" s="40">
        <v>164</v>
      </c>
      <c r="Y257" s="32">
        <v>0</v>
      </c>
    </row>
    <row r="258" spans="1:25" x14ac:dyDescent="0.25">
      <c r="A258" s="31">
        <v>16</v>
      </c>
      <c r="B258" s="32">
        <v>500</v>
      </c>
      <c r="C258" s="34">
        <v>3761</v>
      </c>
      <c r="D258" s="34">
        <v>3553</v>
      </c>
      <c r="E258" s="34">
        <v>3386</v>
      </c>
      <c r="F258" s="34">
        <v>3152</v>
      </c>
      <c r="G258" s="34">
        <v>2997</v>
      </c>
      <c r="H258" s="34">
        <v>2819</v>
      </c>
      <c r="I258" s="34">
        <v>2693</v>
      </c>
      <c r="J258" s="34">
        <v>2534</v>
      </c>
      <c r="K258" s="40">
        <v>2417</v>
      </c>
      <c r="L258" s="40">
        <v>2180</v>
      </c>
      <c r="M258" s="40">
        <v>1909</v>
      </c>
      <c r="N258" s="40">
        <v>1595</v>
      </c>
      <c r="O258" s="40">
        <v>1406</v>
      </c>
      <c r="P258" s="40">
        <v>1261</v>
      </c>
      <c r="Q258" s="40">
        <v>1052</v>
      </c>
      <c r="R258" s="40">
        <v>926</v>
      </c>
      <c r="S258" s="40">
        <v>793</v>
      </c>
      <c r="T258" s="40">
        <v>598</v>
      </c>
      <c r="U258" s="40">
        <v>392</v>
      </c>
      <c r="V258" s="40">
        <v>286</v>
      </c>
      <c r="W258" s="40">
        <v>127</v>
      </c>
      <c r="X258" s="40">
        <v>90</v>
      </c>
      <c r="Y258" s="41">
        <v>0</v>
      </c>
    </row>
    <row r="259" spans="1:25" x14ac:dyDescent="0.25">
      <c r="A259" s="31">
        <v>16</v>
      </c>
      <c r="B259" s="32">
        <v>750</v>
      </c>
      <c r="C259" s="34">
        <v>4113</v>
      </c>
      <c r="D259" s="34">
        <v>3800</v>
      </c>
      <c r="E259" s="34">
        <v>3588</v>
      </c>
      <c r="F259" s="34">
        <v>3251</v>
      </c>
      <c r="G259" s="34">
        <v>3055</v>
      </c>
      <c r="H259" s="40">
        <v>2798</v>
      </c>
      <c r="I259" s="40">
        <v>2610</v>
      </c>
      <c r="J259" s="40">
        <v>2387</v>
      </c>
      <c r="K259" s="40">
        <v>2251</v>
      </c>
      <c r="L259" s="40">
        <v>1985</v>
      </c>
      <c r="M259" s="40">
        <v>1703</v>
      </c>
      <c r="N259" s="40">
        <v>1280</v>
      </c>
      <c r="O259" s="40">
        <v>1113</v>
      </c>
      <c r="P259" s="40">
        <v>978</v>
      </c>
      <c r="Q259" s="40">
        <v>780</v>
      </c>
      <c r="R259" s="40">
        <v>694</v>
      </c>
      <c r="S259" s="40">
        <v>578</v>
      </c>
      <c r="T259" s="40">
        <v>432</v>
      </c>
      <c r="U259" s="40">
        <v>229</v>
      </c>
      <c r="V259" s="40">
        <v>150</v>
      </c>
      <c r="W259" s="40">
        <v>89</v>
      </c>
      <c r="X259" s="34">
        <v>69</v>
      </c>
      <c r="Y259" s="41">
        <v>0</v>
      </c>
    </row>
    <row r="260" spans="1:25" x14ac:dyDescent="0.25">
      <c r="A260" s="31">
        <v>16</v>
      </c>
      <c r="B260" s="32">
        <v>1000</v>
      </c>
      <c r="C260" s="40">
        <v>4785</v>
      </c>
      <c r="D260" s="40">
        <v>4471</v>
      </c>
      <c r="E260" s="40">
        <v>4003</v>
      </c>
      <c r="F260" s="40">
        <v>3460</v>
      </c>
      <c r="G260" s="40">
        <v>3102</v>
      </c>
      <c r="H260" s="40">
        <v>2756</v>
      </c>
      <c r="I260" s="40">
        <v>2504</v>
      </c>
      <c r="J260" s="40">
        <v>2201</v>
      </c>
      <c r="K260" s="40">
        <v>1918</v>
      </c>
      <c r="L260" s="40">
        <v>1634</v>
      </c>
      <c r="M260" s="40">
        <v>1353</v>
      </c>
      <c r="N260" s="40">
        <v>1039</v>
      </c>
      <c r="O260" s="40">
        <v>952</v>
      </c>
      <c r="P260" s="40">
        <v>814</v>
      </c>
      <c r="Q260" s="40">
        <v>665</v>
      </c>
      <c r="R260" s="40">
        <v>530</v>
      </c>
      <c r="S260" s="40">
        <v>455</v>
      </c>
      <c r="T260" s="40">
        <v>325</v>
      </c>
      <c r="U260" s="40">
        <v>192</v>
      </c>
      <c r="V260" s="40">
        <v>90</v>
      </c>
      <c r="W260" s="34">
        <v>59</v>
      </c>
      <c r="X260" s="34">
        <v>45</v>
      </c>
      <c r="Y260" s="41">
        <v>0</v>
      </c>
    </row>
    <row r="261" spans="1:25" x14ac:dyDescent="0.25">
      <c r="A261" s="31">
        <v>16</v>
      </c>
      <c r="B261" s="32">
        <v>1500</v>
      </c>
      <c r="C261" s="40">
        <v>5406</v>
      </c>
      <c r="D261" s="40">
        <v>4726</v>
      </c>
      <c r="E261" s="40">
        <v>4165</v>
      </c>
      <c r="F261" s="40">
        <v>3659</v>
      </c>
      <c r="G261" s="40">
        <v>3280</v>
      </c>
      <c r="H261" s="40">
        <v>2939</v>
      </c>
      <c r="I261" s="40">
        <v>2419</v>
      </c>
      <c r="J261" s="40">
        <v>2111</v>
      </c>
      <c r="K261" s="40">
        <v>1888</v>
      </c>
      <c r="L261" s="40">
        <v>1505</v>
      </c>
      <c r="M261" s="40">
        <v>1226</v>
      </c>
      <c r="N261" s="40">
        <v>1005</v>
      </c>
      <c r="O261" s="40">
        <v>879</v>
      </c>
      <c r="P261" s="40">
        <v>671</v>
      </c>
      <c r="Q261" s="40">
        <v>522</v>
      </c>
      <c r="R261" s="40">
        <v>364</v>
      </c>
      <c r="S261" s="40">
        <v>231</v>
      </c>
      <c r="T261" s="40">
        <v>168</v>
      </c>
      <c r="U261" s="40">
        <v>134</v>
      </c>
      <c r="V261" s="34">
        <v>67</v>
      </c>
      <c r="W261" s="34">
        <v>46</v>
      </c>
      <c r="X261" s="34">
        <v>33</v>
      </c>
      <c r="Y261" s="41">
        <v>0</v>
      </c>
    </row>
    <row r="262" spans="1:25" x14ac:dyDescent="0.25">
      <c r="A262" s="31">
        <v>16</v>
      </c>
      <c r="B262" s="32">
        <v>2000</v>
      </c>
      <c r="C262" s="40">
        <v>5808</v>
      </c>
      <c r="D262" s="40">
        <v>5019</v>
      </c>
      <c r="E262" s="40">
        <v>4352</v>
      </c>
      <c r="F262" s="40">
        <v>3777</v>
      </c>
      <c r="G262" s="40">
        <v>3449</v>
      </c>
      <c r="H262" s="40">
        <v>3071</v>
      </c>
      <c r="I262" s="40">
        <v>2740</v>
      </c>
      <c r="J262" s="40">
        <v>2250</v>
      </c>
      <c r="K262" s="40">
        <v>1921</v>
      </c>
      <c r="L262" s="40">
        <v>1623</v>
      </c>
      <c r="M262" s="40">
        <v>1328</v>
      </c>
      <c r="N262" s="40">
        <v>1118</v>
      </c>
      <c r="O262" s="40">
        <v>918</v>
      </c>
      <c r="P262" s="40">
        <v>715</v>
      </c>
      <c r="Q262" s="40">
        <v>502</v>
      </c>
      <c r="R262" s="40">
        <v>244</v>
      </c>
      <c r="S262" s="40">
        <v>203</v>
      </c>
      <c r="T262" s="40">
        <v>172</v>
      </c>
      <c r="U262" s="34">
        <v>127</v>
      </c>
      <c r="V262" s="34">
        <v>84</v>
      </c>
      <c r="W262" s="34">
        <v>51</v>
      </c>
      <c r="X262" s="34">
        <v>28</v>
      </c>
      <c r="Y262" s="41">
        <v>0</v>
      </c>
    </row>
    <row r="263" spans="1:25" x14ac:dyDescent="0.25">
      <c r="A263" s="31">
        <v>16</v>
      </c>
      <c r="B263" s="32">
        <v>2500</v>
      </c>
      <c r="C263" s="40">
        <v>6312</v>
      </c>
      <c r="D263" s="40">
        <v>5514</v>
      </c>
      <c r="E263" s="40">
        <v>4978</v>
      </c>
      <c r="F263" s="40">
        <v>4407</v>
      </c>
      <c r="G263" s="40">
        <v>3973</v>
      </c>
      <c r="H263" s="40">
        <v>3504</v>
      </c>
      <c r="I263" s="40">
        <v>2954</v>
      </c>
      <c r="J263" s="40">
        <v>2494</v>
      </c>
      <c r="K263" s="40">
        <v>2086</v>
      </c>
      <c r="L263" s="40">
        <v>1747</v>
      </c>
      <c r="M263" s="40">
        <v>1450</v>
      </c>
      <c r="N263" s="40">
        <v>1213</v>
      </c>
      <c r="O263" s="40">
        <v>1004</v>
      </c>
      <c r="P263" s="40">
        <v>795</v>
      </c>
      <c r="Q263" s="40">
        <v>531</v>
      </c>
      <c r="R263" s="40">
        <v>347</v>
      </c>
      <c r="S263" s="40">
        <v>265</v>
      </c>
      <c r="T263" s="34">
        <v>211</v>
      </c>
      <c r="U263" s="34">
        <v>153</v>
      </c>
      <c r="V263" s="34">
        <v>93</v>
      </c>
      <c r="W263" s="34">
        <v>52</v>
      </c>
      <c r="X263" s="34">
        <v>28</v>
      </c>
      <c r="Y263" s="41">
        <v>0</v>
      </c>
    </row>
    <row r="264" spans="1:25" x14ac:dyDescent="0.25">
      <c r="A264" s="31">
        <v>16</v>
      </c>
      <c r="B264" s="32">
        <v>3000</v>
      </c>
      <c r="C264" s="34">
        <v>6858</v>
      </c>
      <c r="D264" s="34">
        <v>5972</v>
      </c>
      <c r="E264" s="34">
        <v>5429</v>
      </c>
      <c r="F264" s="40">
        <v>4894</v>
      </c>
      <c r="G264" s="40">
        <v>4332</v>
      </c>
      <c r="H264" s="40">
        <v>3748</v>
      </c>
      <c r="I264" s="40">
        <v>3146</v>
      </c>
      <c r="J264" s="40">
        <v>2611</v>
      </c>
      <c r="K264" s="40">
        <v>2209</v>
      </c>
      <c r="L264" s="40">
        <v>1857</v>
      </c>
      <c r="M264" s="40">
        <v>1533</v>
      </c>
      <c r="N264" s="40">
        <v>1269</v>
      </c>
      <c r="O264" s="40">
        <v>1101</v>
      </c>
      <c r="P264" s="40">
        <v>817</v>
      </c>
      <c r="Q264" s="40">
        <v>655</v>
      </c>
      <c r="R264" s="40">
        <v>481</v>
      </c>
      <c r="S264" s="40">
        <v>380</v>
      </c>
      <c r="T264" s="34">
        <v>300</v>
      </c>
      <c r="U264" s="34">
        <v>216</v>
      </c>
      <c r="V264" s="34">
        <v>113</v>
      </c>
      <c r="W264" s="34">
        <v>57</v>
      </c>
      <c r="X264" s="34">
        <v>29</v>
      </c>
      <c r="Y264" s="41">
        <v>0</v>
      </c>
    </row>
    <row r="265" spans="1:25" x14ac:dyDescent="0.25">
      <c r="A265" s="31">
        <v>16</v>
      </c>
      <c r="B265" s="32">
        <v>3500</v>
      </c>
      <c r="C265" s="34">
        <v>7286</v>
      </c>
      <c r="D265" s="34">
        <v>6326</v>
      </c>
      <c r="E265" s="34">
        <v>5695</v>
      </c>
      <c r="F265" s="34">
        <v>5018</v>
      </c>
      <c r="G265" s="40">
        <v>4511</v>
      </c>
      <c r="H265" s="40">
        <v>3907</v>
      </c>
      <c r="I265" s="40">
        <v>3255</v>
      </c>
      <c r="J265" s="40">
        <v>2653</v>
      </c>
      <c r="K265" s="40">
        <v>2311</v>
      </c>
      <c r="L265" s="40">
        <v>1956</v>
      </c>
      <c r="M265" s="40">
        <v>1614</v>
      </c>
      <c r="N265" s="40">
        <v>1345</v>
      </c>
      <c r="O265" s="40">
        <v>1170</v>
      </c>
      <c r="P265" s="40">
        <v>831</v>
      </c>
      <c r="Q265" s="40">
        <v>717</v>
      </c>
      <c r="R265" s="40">
        <v>541</v>
      </c>
      <c r="S265" s="40">
        <v>435</v>
      </c>
      <c r="T265" s="34">
        <v>353</v>
      </c>
      <c r="U265" s="34">
        <v>248</v>
      </c>
      <c r="V265" s="34">
        <v>123</v>
      </c>
      <c r="W265" s="34">
        <v>59</v>
      </c>
      <c r="X265" s="34">
        <v>29</v>
      </c>
      <c r="Y265" s="41">
        <v>0</v>
      </c>
    </row>
    <row r="266" spans="1:25" x14ac:dyDescent="0.25">
      <c r="A266" s="31">
        <v>16</v>
      </c>
      <c r="B266" s="32">
        <v>4000</v>
      </c>
      <c r="C266" s="34">
        <v>7568</v>
      </c>
      <c r="D266" s="34">
        <v>6686</v>
      </c>
      <c r="E266" s="34">
        <v>5875</v>
      </c>
      <c r="F266" s="34">
        <v>5296</v>
      </c>
      <c r="G266" s="34">
        <v>4700</v>
      </c>
      <c r="H266" s="34">
        <v>4136</v>
      </c>
      <c r="I266" s="34">
        <v>3392</v>
      </c>
      <c r="J266" s="40">
        <v>2756</v>
      </c>
      <c r="K266" s="40">
        <v>2428</v>
      </c>
      <c r="L266" s="40">
        <v>2157</v>
      </c>
      <c r="M266" s="40">
        <v>1828</v>
      </c>
      <c r="N266" s="40">
        <v>1560</v>
      </c>
      <c r="O266" s="40">
        <v>1325</v>
      </c>
      <c r="P266" s="40">
        <v>1030</v>
      </c>
      <c r="Q266" s="40">
        <v>886</v>
      </c>
      <c r="R266" s="40">
        <v>710</v>
      </c>
      <c r="S266" s="40">
        <v>607</v>
      </c>
      <c r="T266" s="40">
        <v>453</v>
      </c>
      <c r="U266" s="34">
        <v>297</v>
      </c>
      <c r="V266" s="34">
        <v>138</v>
      </c>
      <c r="W266" s="34">
        <v>62</v>
      </c>
      <c r="X266" s="34">
        <v>30</v>
      </c>
      <c r="Y266" s="41">
        <v>0</v>
      </c>
    </row>
    <row r="267" spans="1:25" x14ac:dyDescent="0.25">
      <c r="A267" s="31">
        <v>16</v>
      </c>
      <c r="B267" s="32">
        <v>4500</v>
      </c>
      <c r="C267" s="34">
        <v>8015</v>
      </c>
      <c r="D267" s="34">
        <v>6902</v>
      </c>
      <c r="E267" s="34">
        <v>6071</v>
      </c>
      <c r="F267" s="34">
        <v>5483</v>
      </c>
      <c r="G267" s="34">
        <v>4889</v>
      </c>
      <c r="H267" s="34">
        <v>4352</v>
      </c>
      <c r="I267" s="40">
        <v>3511</v>
      </c>
      <c r="J267" s="40">
        <v>2876</v>
      </c>
      <c r="K267" s="40">
        <v>2569</v>
      </c>
      <c r="L267" s="40">
        <v>2225</v>
      </c>
      <c r="M267" s="40">
        <v>1960</v>
      </c>
      <c r="N267" s="40">
        <v>1684</v>
      </c>
      <c r="O267" s="40">
        <v>1465</v>
      </c>
      <c r="P267" s="40">
        <v>1164</v>
      </c>
      <c r="Q267" s="40">
        <v>988</v>
      </c>
      <c r="R267" s="40">
        <v>808</v>
      </c>
      <c r="S267" s="40">
        <v>674</v>
      </c>
      <c r="T267" s="40">
        <v>525</v>
      </c>
      <c r="U267" s="34">
        <v>335</v>
      </c>
      <c r="V267" s="34">
        <v>155</v>
      </c>
      <c r="W267" s="34">
        <v>66</v>
      </c>
      <c r="X267" s="34">
        <v>31</v>
      </c>
      <c r="Y267" s="41">
        <v>0</v>
      </c>
    </row>
    <row r="268" spans="1:25" x14ac:dyDescent="0.25">
      <c r="A268" s="31">
        <v>16</v>
      </c>
      <c r="B268" s="32">
        <v>5000</v>
      </c>
      <c r="C268" s="34">
        <v>8249</v>
      </c>
      <c r="D268" s="34">
        <v>7179</v>
      </c>
      <c r="E268" s="34">
        <v>6183</v>
      </c>
      <c r="F268" s="40">
        <v>5529</v>
      </c>
      <c r="G268" s="40">
        <v>5058</v>
      </c>
      <c r="H268" s="40">
        <v>4562</v>
      </c>
      <c r="I268" s="40">
        <v>3707</v>
      </c>
      <c r="J268" s="40">
        <v>3017</v>
      </c>
      <c r="K268" s="40">
        <v>2698</v>
      </c>
      <c r="L268" s="40">
        <v>2293</v>
      </c>
      <c r="M268" s="40">
        <v>2024</v>
      </c>
      <c r="N268" s="40">
        <v>1777</v>
      </c>
      <c r="O268" s="40">
        <v>1574</v>
      </c>
      <c r="P268" s="40">
        <v>1220</v>
      </c>
      <c r="Q268" s="40">
        <v>1041</v>
      </c>
      <c r="R268" s="40">
        <v>890</v>
      </c>
      <c r="S268" s="40">
        <v>731</v>
      </c>
      <c r="T268" s="34">
        <v>567</v>
      </c>
      <c r="U268" s="34">
        <v>377</v>
      </c>
      <c r="V268" s="34">
        <v>182</v>
      </c>
      <c r="W268" s="34">
        <v>72</v>
      </c>
      <c r="X268" s="34">
        <v>33</v>
      </c>
      <c r="Y268" s="41">
        <v>0</v>
      </c>
    </row>
    <row r="269" spans="1:25" x14ac:dyDescent="0.25">
      <c r="A269" s="31">
        <v>16</v>
      </c>
      <c r="B269" s="32">
        <v>5500</v>
      </c>
      <c r="C269" s="34">
        <v>8569</v>
      </c>
      <c r="D269" s="34">
        <v>7489</v>
      </c>
      <c r="E269" s="34">
        <v>6212</v>
      </c>
      <c r="F269" s="40">
        <v>5601</v>
      </c>
      <c r="G269" s="40">
        <v>5064</v>
      </c>
      <c r="H269" s="40">
        <v>4609</v>
      </c>
      <c r="I269" s="40">
        <v>3752</v>
      </c>
      <c r="J269" s="40">
        <v>3226</v>
      </c>
      <c r="K269" s="40">
        <v>2913</v>
      </c>
      <c r="L269" s="40">
        <v>2638</v>
      </c>
      <c r="M269" s="40">
        <v>2244</v>
      </c>
      <c r="N269" s="40">
        <v>2036</v>
      </c>
      <c r="O269" s="40">
        <v>1731</v>
      </c>
      <c r="P269" s="40">
        <v>1424</v>
      </c>
      <c r="Q269" s="40">
        <v>1265</v>
      </c>
      <c r="R269" s="40">
        <v>1067</v>
      </c>
      <c r="S269" s="40">
        <v>870</v>
      </c>
      <c r="T269" s="34">
        <v>666</v>
      </c>
      <c r="U269" s="34">
        <v>427</v>
      </c>
      <c r="V269" s="34">
        <v>207</v>
      </c>
      <c r="W269" s="34">
        <v>84</v>
      </c>
      <c r="X269" s="34">
        <v>39</v>
      </c>
      <c r="Y269" s="41">
        <v>0</v>
      </c>
    </row>
    <row r="270" spans="1:25" x14ac:dyDescent="0.25">
      <c r="A270" s="31">
        <v>16</v>
      </c>
      <c r="B270" s="32">
        <v>6000</v>
      </c>
      <c r="C270" s="34">
        <v>9059</v>
      </c>
      <c r="D270" s="34">
        <v>7714</v>
      </c>
      <c r="E270" s="34">
        <v>6377</v>
      </c>
      <c r="F270" s="34">
        <v>5610</v>
      </c>
      <c r="G270" s="34">
        <v>5103</v>
      </c>
      <c r="H270" s="34">
        <v>4624</v>
      </c>
      <c r="I270" s="34">
        <v>3812</v>
      </c>
      <c r="J270" s="40">
        <v>3382</v>
      </c>
      <c r="K270" s="40">
        <v>3073</v>
      </c>
      <c r="L270" s="40">
        <v>2798</v>
      </c>
      <c r="M270" s="40">
        <v>2412</v>
      </c>
      <c r="N270" s="40">
        <v>2191</v>
      </c>
      <c r="O270" s="40">
        <v>1900</v>
      </c>
      <c r="P270" s="40">
        <v>1600</v>
      </c>
      <c r="Q270" s="40">
        <v>1392</v>
      </c>
      <c r="R270" s="40">
        <v>1180</v>
      </c>
      <c r="S270" s="34">
        <v>981</v>
      </c>
      <c r="T270" s="34">
        <v>764</v>
      </c>
      <c r="U270" s="34">
        <v>491</v>
      </c>
      <c r="V270" s="34">
        <v>246</v>
      </c>
      <c r="W270" s="34">
        <v>99</v>
      </c>
      <c r="X270" s="34">
        <v>46</v>
      </c>
      <c r="Y270" s="41">
        <v>0</v>
      </c>
    </row>
    <row r="271" spans="1:25" x14ac:dyDescent="0.25">
      <c r="A271" s="31">
        <v>16</v>
      </c>
      <c r="B271" s="32">
        <v>6500</v>
      </c>
      <c r="C271" s="34">
        <v>9480</v>
      </c>
      <c r="D271" s="34">
        <v>8189</v>
      </c>
      <c r="E271" s="34">
        <v>6573</v>
      </c>
      <c r="F271" s="34">
        <v>5714</v>
      </c>
      <c r="G271" s="34">
        <v>5255</v>
      </c>
      <c r="H271" s="34">
        <v>4650</v>
      </c>
      <c r="I271" s="34">
        <v>3828</v>
      </c>
      <c r="J271" s="40">
        <v>3484</v>
      </c>
      <c r="K271" s="40">
        <v>3126</v>
      </c>
      <c r="L271" s="40">
        <v>2883</v>
      </c>
      <c r="M271" s="40">
        <v>2531</v>
      </c>
      <c r="N271" s="40">
        <v>2275</v>
      </c>
      <c r="O271" s="40">
        <v>2016</v>
      </c>
      <c r="P271" s="40">
        <v>1716</v>
      </c>
      <c r="Q271" s="40">
        <v>1524</v>
      </c>
      <c r="R271" s="40">
        <v>1290</v>
      </c>
      <c r="S271" s="34">
        <v>1086</v>
      </c>
      <c r="T271" s="34">
        <v>854</v>
      </c>
      <c r="U271" s="34">
        <v>549</v>
      </c>
      <c r="V271" s="34">
        <v>278</v>
      </c>
      <c r="W271" s="34">
        <v>116</v>
      </c>
      <c r="X271" s="34">
        <v>54</v>
      </c>
      <c r="Y271" s="41">
        <v>0</v>
      </c>
    </row>
    <row r="272" spans="1:25" x14ac:dyDescent="0.25">
      <c r="A272" s="31">
        <v>16</v>
      </c>
      <c r="B272" s="32">
        <v>7000</v>
      </c>
      <c r="C272" s="34">
        <v>9832</v>
      </c>
      <c r="D272" s="34">
        <v>8567</v>
      </c>
      <c r="E272" s="34">
        <v>6874</v>
      </c>
      <c r="F272" s="34">
        <v>5878</v>
      </c>
      <c r="G272" s="34">
        <v>5336</v>
      </c>
      <c r="H272" s="34">
        <v>4677</v>
      </c>
      <c r="I272" s="34">
        <v>3850</v>
      </c>
      <c r="J272" s="40">
        <v>3511</v>
      </c>
      <c r="K272" s="40">
        <v>3183</v>
      </c>
      <c r="L272" s="34">
        <v>2888</v>
      </c>
      <c r="M272" s="34">
        <v>2549</v>
      </c>
      <c r="N272" s="34">
        <v>2298</v>
      </c>
      <c r="O272" s="34">
        <v>2068</v>
      </c>
      <c r="P272" s="40">
        <v>1801</v>
      </c>
      <c r="Q272" s="40">
        <v>1573</v>
      </c>
      <c r="R272" s="34">
        <v>1376</v>
      </c>
      <c r="S272" s="34">
        <v>1167</v>
      </c>
      <c r="T272" s="34">
        <v>933</v>
      </c>
      <c r="U272" s="34">
        <v>607</v>
      </c>
      <c r="V272" s="34">
        <v>314</v>
      </c>
      <c r="W272" s="34">
        <v>135</v>
      </c>
      <c r="X272" s="34">
        <v>63</v>
      </c>
      <c r="Y272" s="41">
        <v>0</v>
      </c>
    </row>
    <row r="273" spans="1:25" x14ac:dyDescent="0.25">
      <c r="A273" s="31">
        <v>16</v>
      </c>
      <c r="B273" s="32">
        <v>7500</v>
      </c>
      <c r="C273" s="34">
        <v>10170</v>
      </c>
      <c r="D273" s="34">
        <v>8880</v>
      </c>
      <c r="E273" s="34">
        <v>7084</v>
      </c>
      <c r="F273" s="34">
        <v>5947</v>
      </c>
      <c r="G273" s="34">
        <v>5402</v>
      </c>
      <c r="H273" s="34">
        <v>4698</v>
      </c>
      <c r="I273" s="34">
        <v>3872</v>
      </c>
      <c r="J273" s="34">
        <v>3520</v>
      </c>
      <c r="K273" s="34">
        <v>3190</v>
      </c>
      <c r="L273" s="34">
        <v>2890</v>
      </c>
      <c r="M273" s="34">
        <v>2571</v>
      </c>
      <c r="N273" s="34">
        <v>2325</v>
      </c>
      <c r="O273" s="34">
        <v>2104</v>
      </c>
      <c r="P273" s="34">
        <v>1848</v>
      </c>
      <c r="Q273" s="34">
        <v>1618</v>
      </c>
      <c r="R273" s="34">
        <v>1440</v>
      </c>
      <c r="S273" s="34">
        <v>1229</v>
      </c>
      <c r="T273" s="34">
        <v>1012</v>
      </c>
      <c r="U273" s="34">
        <v>662</v>
      </c>
      <c r="V273" s="34">
        <v>344</v>
      </c>
      <c r="W273" s="34">
        <v>147</v>
      </c>
      <c r="X273" s="34">
        <v>69</v>
      </c>
      <c r="Y273" s="41">
        <v>0</v>
      </c>
    </row>
    <row r="274" spans="1:25" x14ac:dyDescent="0.25">
      <c r="A274" s="31">
        <v>16</v>
      </c>
      <c r="B274" s="32">
        <v>8000</v>
      </c>
      <c r="C274" s="34">
        <v>10566</v>
      </c>
      <c r="D274" s="34">
        <v>9241</v>
      </c>
      <c r="E274" s="34">
        <v>7422</v>
      </c>
      <c r="F274" s="34">
        <v>6073</v>
      </c>
      <c r="G274" s="34">
        <v>5475</v>
      </c>
      <c r="H274" s="34">
        <v>4741</v>
      </c>
      <c r="I274" s="34">
        <v>3960</v>
      </c>
      <c r="J274" s="34">
        <v>3663</v>
      </c>
      <c r="K274" s="34">
        <v>3204</v>
      </c>
      <c r="L274" s="34">
        <v>2928</v>
      </c>
      <c r="M274" s="34">
        <v>2610</v>
      </c>
      <c r="N274" s="34">
        <v>2356</v>
      </c>
      <c r="O274" s="34">
        <v>2160</v>
      </c>
      <c r="P274" s="34">
        <v>1938</v>
      </c>
      <c r="Q274" s="34">
        <v>1739</v>
      </c>
      <c r="R274" s="34">
        <v>1538</v>
      </c>
      <c r="S274" s="34">
        <v>1321</v>
      </c>
      <c r="T274" s="34">
        <v>1098</v>
      </c>
      <c r="U274" s="34">
        <v>722</v>
      </c>
      <c r="V274" s="34">
        <v>373</v>
      </c>
      <c r="W274" s="34">
        <v>158</v>
      </c>
      <c r="X274" s="34">
        <v>74</v>
      </c>
      <c r="Y274" s="41">
        <v>0</v>
      </c>
    </row>
    <row r="275" spans="1:25" x14ac:dyDescent="0.25">
      <c r="A275" s="40"/>
      <c r="B275" s="32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32"/>
    </row>
    <row r="276" spans="1:25" x14ac:dyDescent="0.25">
      <c r="A276" s="31">
        <v>18</v>
      </c>
      <c r="B276" s="32">
        <v>0</v>
      </c>
      <c r="C276" s="34">
        <v>2198</v>
      </c>
      <c r="D276" s="34">
        <v>2136</v>
      </c>
      <c r="E276" s="34">
        <v>2076</v>
      </c>
      <c r="F276" s="34">
        <v>1999</v>
      </c>
      <c r="G276" s="34">
        <v>1970</v>
      </c>
      <c r="H276" s="34">
        <v>1955</v>
      </c>
      <c r="I276" s="34">
        <v>1900</v>
      </c>
      <c r="J276" s="34">
        <v>1809</v>
      </c>
      <c r="K276" s="34">
        <v>1617</v>
      </c>
      <c r="L276" s="34">
        <v>1402</v>
      </c>
      <c r="M276" s="34">
        <v>1218</v>
      </c>
      <c r="N276" s="34">
        <v>1063</v>
      </c>
      <c r="O276" s="34">
        <v>936</v>
      </c>
      <c r="P276" s="34">
        <v>822</v>
      </c>
      <c r="Q276" s="34">
        <v>732</v>
      </c>
      <c r="R276" s="34">
        <v>660</v>
      </c>
      <c r="S276" s="34">
        <v>599</v>
      </c>
      <c r="T276" s="34">
        <v>569</v>
      </c>
      <c r="U276" s="34">
        <v>434</v>
      </c>
      <c r="V276" s="34">
        <v>260</v>
      </c>
      <c r="W276" s="34">
        <v>138</v>
      </c>
      <c r="X276" s="34">
        <v>84</v>
      </c>
      <c r="Y276" s="41">
        <v>0</v>
      </c>
    </row>
    <row r="277" spans="1:25" x14ac:dyDescent="0.25">
      <c r="A277" s="31">
        <v>18</v>
      </c>
      <c r="B277" s="32">
        <v>50</v>
      </c>
      <c r="C277" s="34">
        <v>2377</v>
      </c>
      <c r="D277" s="34">
        <v>2295</v>
      </c>
      <c r="E277" s="34">
        <v>2209</v>
      </c>
      <c r="F277" s="34">
        <v>2043</v>
      </c>
      <c r="G277" s="34">
        <v>2002</v>
      </c>
      <c r="H277" s="34">
        <v>1960</v>
      </c>
      <c r="I277" s="34">
        <v>1886</v>
      </c>
      <c r="J277" s="34">
        <v>1782</v>
      </c>
      <c r="K277" s="34">
        <v>1647</v>
      </c>
      <c r="L277" s="34">
        <v>1408</v>
      </c>
      <c r="M277" s="34">
        <v>1260</v>
      </c>
      <c r="N277" s="34">
        <v>1138</v>
      </c>
      <c r="O277" s="34">
        <v>1042</v>
      </c>
      <c r="P277" s="34">
        <v>922</v>
      </c>
      <c r="Q277" s="34">
        <v>824</v>
      </c>
      <c r="R277" s="34">
        <v>744</v>
      </c>
      <c r="S277" s="34">
        <v>684</v>
      </c>
      <c r="T277" s="34">
        <v>620</v>
      </c>
      <c r="U277" s="34">
        <v>474</v>
      </c>
      <c r="V277" s="34">
        <v>310</v>
      </c>
      <c r="W277" s="34">
        <v>177</v>
      </c>
      <c r="X277" s="34">
        <v>117</v>
      </c>
      <c r="Y277" s="41">
        <v>0</v>
      </c>
    </row>
    <row r="278" spans="1:25" x14ac:dyDescent="0.25">
      <c r="A278" s="31">
        <v>18</v>
      </c>
      <c r="B278" s="32">
        <v>100</v>
      </c>
      <c r="C278" s="34">
        <v>2416</v>
      </c>
      <c r="D278" s="34">
        <v>2316</v>
      </c>
      <c r="E278" s="34">
        <v>2220</v>
      </c>
      <c r="F278" s="34">
        <v>2084</v>
      </c>
      <c r="G278" s="34">
        <v>2003</v>
      </c>
      <c r="H278" s="34">
        <v>1944</v>
      </c>
      <c r="I278" s="34">
        <v>1847</v>
      </c>
      <c r="J278" s="34">
        <v>1733</v>
      </c>
      <c r="K278" s="34">
        <v>1653</v>
      </c>
      <c r="L278" s="34">
        <v>1405</v>
      </c>
      <c r="M278" s="34">
        <v>1278</v>
      </c>
      <c r="N278" s="34">
        <v>1157</v>
      </c>
      <c r="O278" s="34">
        <v>1065</v>
      </c>
      <c r="P278" s="34">
        <v>958</v>
      </c>
      <c r="Q278" s="34">
        <v>886</v>
      </c>
      <c r="R278" s="34">
        <v>784</v>
      </c>
      <c r="S278" s="34">
        <v>744</v>
      </c>
      <c r="T278" s="40">
        <v>648</v>
      </c>
      <c r="U278" s="40">
        <v>521</v>
      </c>
      <c r="V278" s="40">
        <v>331</v>
      </c>
      <c r="W278" s="40">
        <v>185</v>
      </c>
      <c r="X278" s="40">
        <v>132</v>
      </c>
      <c r="Y278" s="32">
        <v>0</v>
      </c>
    </row>
    <row r="279" spans="1:25" x14ac:dyDescent="0.25">
      <c r="A279" s="31">
        <v>18</v>
      </c>
      <c r="B279" s="32">
        <v>300</v>
      </c>
      <c r="C279" s="34">
        <v>2566</v>
      </c>
      <c r="D279" s="34">
        <v>2353</v>
      </c>
      <c r="E279" s="34">
        <v>2230</v>
      </c>
      <c r="F279" s="34">
        <v>2083</v>
      </c>
      <c r="G279" s="34">
        <v>1952</v>
      </c>
      <c r="H279" s="34">
        <v>1895</v>
      </c>
      <c r="I279" s="34">
        <v>1783</v>
      </c>
      <c r="J279" s="40">
        <v>1646</v>
      </c>
      <c r="K279" s="40">
        <v>1558</v>
      </c>
      <c r="L279" s="40">
        <v>1407</v>
      </c>
      <c r="M279" s="40">
        <v>1285</v>
      </c>
      <c r="N279" s="40">
        <v>1149</v>
      </c>
      <c r="O279" s="40">
        <v>1076</v>
      </c>
      <c r="P279" s="40">
        <v>1009</v>
      </c>
      <c r="Q279" s="40">
        <v>933</v>
      </c>
      <c r="R279" s="40">
        <v>821</v>
      </c>
      <c r="S279" s="40">
        <v>775</v>
      </c>
      <c r="T279" s="40">
        <v>661</v>
      </c>
      <c r="U279" s="40">
        <v>527</v>
      </c>
      <c r="V279" s="40">
        <v>322</v>
      </c>
      <c r="W279" s="40">
        <v>175</v>
      </c>
      <c r="X279" s="40">
        <v>119</v>
      </c>
      <c r="Y279" s="32">
        <v>0</v>
      </c>
    </row>
    <row r="280" spans="1:25" x14ac:dyDescent="0.25">
      <c r="A280" s="31">
        <v>18</v>
      </c>
      <c r="B280" s="32">
        <v>500</v>
      </c>
      <c r="C280" s="34">
        <v>2609</v>
      </c>
      <c r="D280" s="34">
        <v>2392</v>
      </c>
      <c r="E280" s="34">
        <v>2232</v>
      </c>
      <c r="F280" s="34">
        <v>1998</v>
      </c>
      <c r="G280" s="34">
        <v>1899</v>
      </c>
      <c r="H280" s="40">
        <v>1775</v>
      </c>
      <c r="I280" s="40">
        <v>1655</v>
      </c>
      <c r="J280" s="40">
        <v>1447</v>
      </c>
      <c r="K280" s="40">
        <v>1350</v>
      </c>
      <c r="L280" s="40">
        <v>1196</v>
      </c>
      <c r="M280" s="40">
        <v>1113</v>
      </c>
      <c r="N280" s="40">
        <v>1025</v>
      </c>
      <c r="O280" s="40">
        <v>938</v>
      </c>
      <c r="P280" s="40">
        <v>826</v>
      </c>
      <c r="Q280" s="40">
        <v>732</v>
      </c>
      <c r="R280" s="40">
        <v>648</v>
      </c>
      <c r="S280" s="40">
        <v>579</v>
      </c>
      <c r="T280" s="40">
        <v>454</v>
      </c>
      <c r="U280" s="40">
        <v>297</v>
      </c>
      <c r="V280" s="40">
        <v>214</v>
      </c>
      <c r="W280" s="40">
        <v>142</v>
      </c>
      <c r="X280" s="40">
        <v>66</v>
      </c>
      <c r="Y280" s="41">
        <v>0</v>
      </c>
    </row>
    <row r="281" spans="1:25" x14ac:dyDescent="0.25">
      <c r="A281" s="31">
        <v>18</v>
      </c>
      <c r="B281" s="32">
        <v>750</v>
      </c>
      <c r="C281" s="34">
        <v>2878</v>
      </c>
      <c r="D281" s="40">
        <v>2510</v>
      </c>
      <c r="E281" s="40">
        <v>2247</v>
      </c>
      <c r="F281" s="40">
        <v>1993</v>
      </c>
      <c r="G281" s="40">
        <v>1892</v>
      </c>
      <c r="H281" s="40">
        <v>1754</v>
      </c>
      <c r="I281" s="40">
        <v>1607</v>
      </c>
      <c r="J281" s="40">
        <v>1429</v>
      </c>
      <c r="K281" s="40">
        <v>1277</v>
      </c>
      <c r="L281" s="40">
        <v>1153</v>
      </c>
      <c r="M281" s="40">
        <v>1052</v>
      </c>
      <c r="N281" s="40">
        <v>903</v>
      </c>
      <c r="O281" s="40">
        <v>794</v>
      </c>
      <c r="P281" s="40">
        <v>680</v>
      </c>
      <c r="Q281" s="40">
        <v>578</v>
      </c>
      <c r="R281" s="40">
        <v>516</v>
      </c>
      <c r="S281" s="40">
        <v>450</v>
      </c>
      <c r="T281" s="40">
        <v>334</v>
      </c>
      <c r="U281" s="40">
        <v>169</v>
      </c>
      <c r="V281" s="40">
        <v>144</v>
      </c>
      <c r="W281" s="40">
        <v>90</v>
      </c>
      <c r="X281" s="40">
        <v>49</v>
      </c>
      <c r="Y281" s="41">
        <v>0</v>
      </c>
    </row>
    <row r="282" spans="1:25" x14ac:dyDescent="0.25">
      <c r="A282" s="31">
        <v>18</v>
      </c>
      <c r="B282" s="32">
        <v>1000</v>
      </c>
      <c r="C282" s="40">
        <v>3081</v>
      </c>
      <c r="D282" s="40">
        <v>2635</v>
      </c>
      <c r="E282" s="40">
        <v>2312</v>
      </c>
      <c r="F282" s="40">
        <v>1971</v>
      </c>
      <c r="G282" s="40">
        <v>1877</v>
      </c>
      <c r="H282" s="40">
        <v>1728</v>
      </c>
      <c r="I282" s="40">
        <v>1574</v>
      </c>
      <c r="J282" s="40">
        <v>1448</v>
      </c>
      <c r="K282" s="40">
        <v>1279</v>
      </c>
      <c r="L282" s="40">
        <v>1145</v>
      </c>
      <c r="M282" s="40">
        <v>1018</v>
      </c>
      <c r="N282" s="40">
        <v>870</v>
      </c>
      <c r="O282" s="40">
        <v>749</v>
      </c>
      <c r="P282" s="40">
        <v>670</v>
      </c>
      <c r="Q282" s="40">
        <v>550</v>
      </c>
      <c r="R282" s="40">
        <v>426</v>
      </c>
      <c r="S282" s="40">
        <v>394</v>
      </c>
      <c r="T282" s="40">
        <v>260</v>
      </c>
      <c r="U282" s="40">
        <v>137</v>
      </c>
      <c r="V282" s="40">
        <v>80</v>
      </c>
      <c r="W282" s="34">
        <v>56</v>
      </c>
      <c r="X282" s="34">
        <v>36</v>
      </c>
      <c r="Y282" s="41">
        <v>0</v>
      </c>
    </row>
    <row r="283" spans="1:25" x14ac:dyDescent="0.25">
      <c r="A283" s="31">
        <v>18</v>
      </c>
      <c r="B283" s="32">
        <v>1500</v>
      </c>
      <c r="C283" s="40">
        <v>3760</v>
      </c>
      <c r="D283" s="40">
        <v>3260</v>
      </c>
      <c r="E283" s="40">
        <v>2858</v>
      </c>
      <c r="F283" s="40">
        <v>2479</v>
      </c>
      <c r="G283" s="40">
        <v>2206</v>
      </c>
      <c r="H283" s="40">
        <v>2032</v>
      </c>
      <c r="I283" s="40">
        <v>1847</v>
      </c>
      <c r="J283" s="40">
        <v>1599</v>
      </c>
      <c r="K283" s="40">
        <v>1404</v>
      </c>
      <c r="L283" s="40">
        <v>1231</v>
      </c>
      <c r="M283" s="40">
        <v>1102</v>
      </c>
      <c r="N283" s="40">
        <v>903</v>
      </c>
      <c r="O283" s="40">
        <v>794</v>
      </c>
      <c r="P283" s="40">
        <v>681</v>
      </c>
      <c r="Q283" s="40">
        <v>524</v>
      </c>
      <c r="R283" s="40">
        <v>379</v>
      </c>
      <c r="S283" s="40">
        <v>274</v>
      </c>
      <c r="T283" s="40">
        <v>215</v>
      </c>
      <c r="U283" s="40">
        <v>151</v>
      </c>
      <c r="V283" s="40">
        <v>90</v>
      </c>
      <c r="W283" s="34">
        <v>53</v>
      </c>
      <c r="X283" s="34">
        <v>29</v>
      </c>
      <c r="Y283" s="41">
        <v>0</v>
      </c>
    </row>
    <row r="284" spans="1:25" x14ac:dyDescent="0.25">
      <c r="A284" s="31">
        <v>18</v>
      </c>
      <c r="B284" s="32">
        <v>2000</v>
      </c>
      <c r="C284" s="40">
        <v>4277</v>
      </c>
      <c r="D284" s="40">
        <v>3648</v>
      </c>
      <c r="E284" s="40">
        <v>3255</v>
      </c>
      <c r="F284" s="40">
        <v>2811</v>
      </c>
      <c r="G284" s="40">
        <v>2566</v>
      </c>
      <c r="H284" s="40">
        <v>2287</v>
      </c>
      <c r="I284" s="40">
        <v>2119</v>
      </c>
      <c r="J284" s="40">
        <v>1844</v>
      </c>
      <c r="K284" s="40">
        <v>1640</v>
      </c>
      <c r="L284" s="40">
        <v>1469</v>
      </c>
      <c r="M284" s="40">
        <v>1351</v>
      </c>
      <c r="N284" s="40">
        <v>1222</v>
      </c>
      <c r="O284" s="40">
        <v>1093</v>
      </c>
      <c r="P284" s="40">
        <v>956</v>
      </c>
      <c r="Q284" s="40">
        <v>757</v>
      </c>
      <c r="R284" s="40">
        <v>420</v>
      </c>
      <c r="S284" s="40">
        <v>307</v>
      </c>
      <c r="T284" s="40">
        <v>267</v>
      </c>
      <c r="U284" s="40">
        <v>162</v>
      </c>
      <c r="V284" s="40">
        <v>98</v>
      </c>
      <c r="W284" s="34">
        <v>51</v>
      </c>
      <c r="X284" s="34">
        <v>25</v>
      </c>
      <c r="Y284" s="41">
        <v>0</v>
      </c>
    </row>
    <row r="285" spans="1:25" x14ac:dyDescent="0.25">
      <c r="A285" s="31">
        <v>18</v>
      </c>
      <c r="B285" s="32">
        <v>2500</v>
      </c>
      <c r="C285" s="40">
        <v>4845</v>
      </c>
      <c r="D285" s="40">
        <v>4453</v>
      </c>
      <c r="E285" s="40">
        <v>4036</v>
      </c>
      <c r="F285" s="40">
        <v>3480</v>
      </c>
      <c r="G285" s="40">
        <v>3095</v>
      </c>
      <c r="H285" s="40">
        <v>2681</v>
      </c>
      <c r="I285" s="40">
        <v>2407</v>
      </c>
      <c r="J285" s="40">
        <v>2016</v>
      </c>
      <c r="K285" s="40">
        <v>1838</v>
      </c>
      <c r="L285" s="40">
        <v>1623</v>
      </c>
      <c r="M285" s="40">
        <v>1470</v>
      </c>
      <c r="N285" s="40">
        <v>1319</v>
      </c>
      <c r="O285" s="40">
        <v>1149</v>
      </c>
      <c r="P285" s="40">
        <v>1025</v>
      </c>
      <c r="Q285" s="40">
        <v>832</v>
      </c>
      <c r="R285" s="40">
        <v>523</v>
      </c>
      <c r="S285" s="40">
        <v>406</v>
      </c>
      <c r="T285" s="40">
        <v>338</v>
      </c>
      <c r="U285" s="40">
        <v>226</v>
      </c>
      <c r="V285" s="34">
        <v>119</v>
      </c>
      <c r="W285" s="34">
        <v>52</v>
      </c>
      <c r="X285" s="34">
        <v>25</v>
      </c>
      <c r="Y285" s="41">
        <v>0</v>
      </c>
    </row>
    <row r="286" spans="1:25" x14ac:dyDescent="0.25">
      <c r="A286" s="31">
        <v>18</v>
      </c>
      <c r="B286" s="32">
        <v>3000</v>
      </c>
      <c r="C286" s="40">
        <v>5472</v>
      </c>
      <c r="D286" s="40">
        <v>4760</v>
      </c>
      <c r="E286" s="40">
        <v>4329</v>
      </c>
      <c r="F286" s="40">
        <v>3736</v>
      </c>
      <c r="G286" s="40">
        <v>3279</v>
      </c>
      <c r="H286" s="40">
        <v>2831</v>
      </c>
      <c r="I286" s="40">
        <v>2533</v>
      </c>
      <c r="J286" s="40">
        <v>2167</v>
      </c>
      <c r="K286" s="40">
        <v>1945</v>
      </c>
      <c r="L286" s="40">
        <v>1728</v>
      </c>
      <c r="M286" s="40">
        <v>1516</v>
      </c>
      <c r="N286" s="40">
        <v>1352</v>
      </c>
      <c r="O286" s="40">
        <v>1216</v>
      </c>
      <c r="P286" s="40">
        <v>1094</v>
      </c>
      <c r="Q286" s="40">
        <v>876</v>
      </c>
      <c r="R286" s="40">
        <v>629</v>
      </c>
      <c r="S286" s="40">
        <v>493</v>
      </c>
      <c r="T286" s="40">
        <v>426</v>
      </c>
      <c r="U286" s="40">
        <v>287</v>
      </c>
      <c r="V286" s="34">
        <v>137</v>
      </c>
      <c r="W286" s="34">
        <v>55</v>
      </c>
      <c r="X286" s="34">
        <v>25</v>
      </c>
      <c r="Y286" s="41">
        <v>0</v>
      </c>
    </row>
    <row r="287" spans="1:25" x14ac:dyDescent="0.25">
      <c r="A287" s="31">
        <v>18</v>
      </c>
      <c r="B287" s="32">
        <v>3500</v>
      </c>
      <c r="C287" s="40">
        <v>5983</v>
      </c>
      <c r="D287" s="40">
        <v>5028</v>
      </c>
      <c r="E287" s="40">
        <v>4457</v>
      </c>
      <c r="F287" s="40">
        <v>3802</v>
      </c>
      <c r="G287" s="40">
        <v>3381</v>
      </c>
      <c r="H287" s="40">
        <v>2894</v>
      </c>
      <c r="I287" s="40">
        <v>2615</v>
      </c>
      <c r="J287" s="40">
        <v>2280</v>
      </c>
      <c r="K287" s="40">
        <v>2042</v>
      </c>
      <c r="L287" s="40">
        <v>1825</v>
      </c>
      <c r="M287" s="40">
        <v>1550</v>
      </c>
      <c r="N287" s="40">
        <v>1453</v>
      </c>
      <c r="O287" s="40">
        <v>1243</v>
      </c>
      <c r="P287" s="40">
        <v>1123</v>
      </c>
      <c r="Q287" s="40">
        <v>899</v>
      </c>
      <c r="R287" s="40">
        <v>743</v>
      </c>
      <c r="S287" s="40">
        <v>571</v>
      </c>
      <c r="T287" s="40">
        <v>500</v>
      </c>
      <c r="U287" s="40">
        <v>384</v>
      </c>
      <c r="V287" s="34">
        <v>166</v>
      </c>
      <c r="W287" s="34">
        <v>59</v>
      </c>
      <c r="X287" s="34">
        <v>26</v>
      </c>
      <c r="Y287" s="41">
        <v>0</v>
      </c>
    </row>
    <row r="288" spans="1:25" x14ac:dyDescent="0.25">
      <c r="A288" s="31">
        <v>18</v>
      </c>
      <c r="B288" s="32">
        <v>4000</v>
      </c>
      <c r="C288" s="40">
        <v>6459</v>
      </c>
      <c r="D288" s="40">
        <v>5438</v>
      </c>
      <c r="E288" s="40">
        <v>4798</v>
      </c>
      <c r="F288" s="40">
        <v>4007</v>
      </c>
      <c r="G288" s="40">
        <v>3533</v>
      </c>
      <c r="H288" s="40">
        <v>3059</v>
      </c>
      <c r="I288" s="40">
        <v>2685</v>
      </c>
      <c r="J288" s="40">
        <v>2383</v>
      </c>
      <c r="K288" s="40">
        <v>2241</v>
      </c>
      <c r="L288" s="40">
        <v>2004</v>
      </c>
      <c r="M288" s="40">
        <v>1738</v>
      </c>
      <c r="N288" s="40">
        <v>1639</v>
      </c>
      <c r="O288" s="40">
        <v>1446</v>
      </c>
      <c r="P288" s="40">
        <v>1216</v>
      </c>
      <c r="Q288" s="40">
        <v>1029</v>
      </c>
      <c r="R288" s="40">
        <v>876</v>
      </c>
      <c r="S288" s="40">
        <v>710</v>
      </c>
      <c r="T288" s="40">
        <v>621</v>
      </c>
      <c r="U288" s="40">
        <v>453</v>
      </c>
      <c r="V288" s="34">
        <v>183</v>
      </c>
      <c r="W288" s="34">
        <v>61</v>
      </c>
      <c r="X288" s="34">
        <v>27</v>
      </c>
      <c r="Y288" s="41">
        <v>0</v>
      </c>
    </row>
    <row r="289" spans="1:25" x14ac:dyDescent="0.25">
      <c r="A289" s="31">
        <v>18</v>
      </c>
      <c r="B289" s="32">
        <v>4500</v>
      </c>
      <c r="C289" s="34">
        <v>6562</v>
      </c>
      <c r="D289" s="34">
        <v>5560</v>
      </c>
      <c r="E289" s="34">
        <v>4925</v>
      </c>
      <c r="F289" s="34">
        <v>4189</v>
      </c>
      <c r="G289" s="34">
        <v>3748</v>
      </c>
      <c r="H289" s="40">
        <v>3266</v>
      </c>
      <c r="I289" s="40">
        <v>2801</v>
      </c>
      <c r="J289" s="40">
        <v>2496</v>
      </c>
      <c r="K289" s="40">
        <v>2325</v>
      </c>
      <c r="L289" s="40">
        <v>2136</v>
      </c>
      <c r="M289" s="40">
        <v>1926</v>
      </c>
      <c r="N289" s="40">
        <v>1736</v>
      </c>
      <c r="O289" s="40">
        <v>1565</v>
      </c>
      <c r="P289" s="40">
        <v>1316</v>
      </c>
      <c r="Q289" s="40">
        <v>1102</v>
      </c>
      <c r="R289" s="40">
        <v>957</v>
      </c>
      <c r="S289" s="40">
        <v>751</v>
      </c>
      <c r="T289" s="40">
        <v>676</v>
      </c>
      <c r="U289" s="34">
        <v>482</v>
      </c>
      <c r="V289" s="34">
        <v>195</v>
      </c>
      <c r="W289" s="34">
        <v>64</v>
      </c>
      <c r="X289" s="34">
        <v>28</v>
      </c>
      <c r="Y289" s="41">
        <v>0</v>
      </c>
    </row>
    <row r="290" spans="1:25" x14ac:dyDescent="0.25">
      <c r="A290" s="31">
        <v>18</v>
      </c>
      <c r="B290" s="32">
        <v>5000</v>
      </c>
      <c r="C290" s="34">
        <v>6719</v>
      </c>
      <c r="D290" s="34">
        <v>5688</v>
      </c>
      <c r="E290" s="40">
        <v>5048</v>
      </c>
      <c r="F290" s="40">
        <v>4297</v>
      </c>
      <c r="G290" s="40">
        <v>3973</v>
      </c>
      <c r="H290" s="40">
        <v>3492</v>
      </c>
      <c r="I290" s="40">
        <v>2895</v>
      </c>
      <c r="J290" s="40">
        <v>2606</v>
      </c>
      <c r="K290" s="40">
        <v>2414</v>
      </c>
      <c r="L290" s="40">
        <v>2245</v>
      </c>
      <c r="M290" s="40">
        <v>2083</v>
      </c>
      <c r="N290" s="40">
        <v>1796</v>
      </c>
      <c r="O290" s="40">
        <v>1648</v>
      </c>
      <c r="P290" s="40">
        <v>1388</v>
      </c>
      <c r="Q290" s="40">
        <v>1186</v>
      </c>
      <c r="R290" s="40">
        <v>1009</v>
      </c>
      <c r="S290" s="40">
        <v>795</v>
      </c>
      <c r="T290" s="40">
        <v>720</v>
      </c>
      <c r="U290" s="34">
        <v>489</v>
      </c>
      <c r="V290" s="34">
        <v>213</v>
      </c>
      <c r="W290" s="34">
        <v>72</v>
      </c>
      <c r="X290" s="34">
        <v>31</v>
      </c>
      <c r="Y290" s="41">
        <v>0</v>
      </c>
    </row>
    <row r="291" spans="1:25" x14ac:dyDescent="0.25">
      <c r="A291" s="31">
        <v>18</v>
      </c>
      <c r="B291" s="32">
        <v>5500</v>
      </c>
      <c r="C291" s="34">
        <v>6820</v>
      </c>
      <c r="D291" s="34">
        <v>5875</v>
      </c>
      <c r="E291" s="40">
        <v>5205</v>
      </c>
      <c r="F291" s="40">
        <v>4521</v>
      </c>
      <c r="G291" s="40">
        <v>4157</v>
      </c>
      <c r="H291" s="40">
        <v>3696</v>
      </c>
      <c r="I291" s="40">
        <v>3053</v>
      </c>
      <c r="J291" s="40">
        <v>2937</v>
      </c>
      <c r="K291" s="40">
        <v>2717</v>
      </c>
      <c r="L291" s="40">
        <v>2510</v>
      </c>
      <c r="M291" s="40">
        <v>2265</v>
      </c>
      <c r="N291" s="40">
        <v>2077</v>
      </c>
      <c r="O291" s="40">
        <v>1861</v>
      </c>
      <c r="P291" s="40">
        <v>1603</v>
      </c>
      <c r="Q291" s="40">
        <v>1360</v>
      </c>
      <c r="R291" s="40">
        <v>1192</v>
      </c>
      <c r="S291" s="40">
        <v>966</v>
      </c>
      <c r="T291" s="40">
        <v>770</v>
      </c>
      <c r="U291" s="34">
        <v>539</v>
      </c>
      <c r="V291" s="34">
        <v>237</v>
      </c>
      <c r="W291" s="34">
        <v>84</v>
      </c>
      <c r="X291" s="34">
        <v>37</v>
      </c>
      <c r="Y291" s="41">
        <v>0</v>
      </c>
    </row>
    <row r="292" spans="1:25" x14ac:dyDescent="0.25">
      <c r="A292" s="31">
        <v>18</v>
      </c>
      <c r="B292" s="32">
        <v>6000</v>
      </c>
      <c r="C292" s="34">
        <v>7067</v>
      </c>
      <c r="D292" s="34">
        <v>6118</v>
      </c>
      <c r="E292" s="34">
        <v>5412</v>
      </c>
      <c r="F292" s="34">
        <v>4662</v>
      </c>
      <c r="G292" s="34">
        <v>4293</v>
      </c>
      <c r="H292" s="34">
        <v>3757</v>
      </c>
      <c r="I292" s="34">
        <v>3123</v>
      </c>
      <c r="J292" s="40">
        <v>3002</v>
      </c>
      <c r="K292" s="40">
        <v>2856</v>
      </c>
      <c r="L292" s="40">
        <v>2696</v>
      </c>
      <c r="M292" s="40">
        <v>2421</v>
      </c>
      <c r="N292" s="40">
        <v>2216</v>
      </c>
      <c r="O292" s="40">
        <v>1969</v>
      </c>
      <c r="P292" s="40">
        <v>1727</v>
      </c>
      <c r="Q292" s="40">
        <v>1465</v>
      </c>
      <c r="R292" s="40">
        <v>1300</v>
      </c>
      <c r="S292" s="40">
        <v>1063</v>
      </c>
      <c r="T292" s="34">
        <v>861</v>
      </c>
      <c r="U292" s="34">
        <v>585</v>
      </c>
      <c r="V292" s="34">
        <v>266</v>
      </c>
      <c r="W292" s="34">
        <v>99</v>
      </c>
      <c r="X292" s="34">
        <v>44</v>
      </c>
      <c r="Y292" s="41">
        <v>0</v>
      </c>
    </row>
    <row r="293" spans="1:25" x14ac:dyDescent="0.25">
      <c r="A293" s="31">
        <v>18</v>
      </c>
      <c r="B293" s="32">
        <v>6500</v>
      </c>
      <c r="C293" s="34">
        <v>7342</v>
      </c>
      <c r="D293" s="34">
        <v>6385</v>
      </c>
      <c r="E293" s="34">
        <v>5570</v>
      </c>
      <c r="F293" s="34">
        <v>4764</v>
      </c>
      <c r="G293" s="34">
        <v>4337</v>
      </c>
      <c r="H293" s="34">
        <v>3813</v>
      </c>
      <c r="I293" s="40">
        <v>3140</v>
      </c>
      <c r="J293" s="40">
        <v>3018</v>
      </c>
      <c r="K293" s="40">
        <v>2907</v>
      </c>
      <c r="L293" s="34">
        <v>2781</v>
      </c>
      <c r="M293" s="40">
        <v>2531</v>
      </c>
      <c r="N293" s="40">
        <v>2305</v>
      </c>
      <c r="O293" s="40">
        <v>2073</v>
      </c>
      <c r="P293" s="40">
        <v>1825</v>
      </c>
      <c r="Q293" s="40">
        <v>1560</v>
      </c>
      <c r="R293" s="34">
        <v>1376</v>
      </c>
      <c r="S293" s="34">
        <v>1158</v>
      </c>
      <c r="T293" s="34">
        <v>912</v>
      </c>
      <c r="U293" s="34">
        <v>611</v>
      </c>
      <c r="V293" s="34">
        <v>292</v>
      </c>
      <c r="W293" s="34">
        <v>116</v>
      </c>
      <c r="X293" s="34">
        <v>53</v>
      </c>
      <c r="Y293" s="41">
        <v>0</v>
      </c>
    </row>
    <row r="294" spans="1:25" x14ac:dyDescent="0.25">
      <c r="A294" s="31">
        <v>18</v>
      </c>
      <c r="B294" s="32">
        <v>7000</v>
      </c>
      <c r="C294" s="34">
        <v>7625</v>
      </c>
      <c r="D294" s="34">
        <v>6606</v>
      </c>
      <c r="E294" s="34">
        <v>5716</v>
      </c>
      <c r="F294" s="34">
        <v>4835</v>
      </c>
      <c r="G294" s="34">
        <v>4412</v>
      </c>
      <c r="H294" s="40">
        <v>3893</v>
      </c>
      <c r="I294" s="40">
        <v>3166</v>
      </c>
      <c r="J294" s="40">
        <v>3061</v>
      </c>
      <c r="K294" s="40">
        <v>2921</v>
      </c>
      <c r="L294" s="40">
        <v>2794</v>
      </c>
      <c r="M294" s="40">
        <v>2536</v>
      </c>
      <c r="N294" s="40">
        <v>2308</v>
      </c>
      <c r="O294" s="40">
        <v>2080</v>
      </c>
      <c r="P294" s="40">
        <v>1840</v>
      </c>
      <c r="Q294" s="34">
        <v>1594</v>
      </c>
      <c r="R294" s="34">
        <v>1415</v>
      </c>
      <c r="S294" s="34">
        <v>1208</v>
      </c>
      <c r="T294" s="34">
        <v>968</v>
      </c>
      <c r="U294" s="34">
        <v>640</v>
      </c>
      <c r="V294" s="34">
        <v>320</v>
      </c>
      <c r="W294" s="34">
        <v>133</v>
      </c>
      <c r="X294" s="34">
        <v>62</v>
      </c>
      <c r="Y294" s="41">
        <v>0</v>
      </c>
    </row>
    <row r="295" spans="1:25" x14ac:dyDescent="0.25">
      <c r="A295" s="31">
        <v>18</v>
      </c>
      <c r="B295" s="32">
        <v>7500</v>
      </c>
      <c r="C295" s="34">
        <v>7930</v>
      </c>
      <c r="D295" s="34">
        <v>6835</v>
      </c>
      <c r="E295" s="34">
        <v>5901</v>
      </c>
      <c r="F295" s="34">
        <v>4941</v>
      </c>
      <c r="G295" s="34">
        <v>4486</v>
      </c>
      <c r="H295" s="40">
        <v>3929</v>
      </c>
      <c r="I295" s="40">
        <v>3216</v>
      </c>
      <c r="J295" s="40">
        <v>3070</v>
      </c>
      <c r="K295" s="40">
        <v>2954</v>
      </c>
      <c r="L295" s="40">
        <v>2636</v>
      </c>
      <c r="M295" s="40">
        <v>2471</v>
      </c>
      <c r="N295" s="40">
        <v>2326</v>
      </c>
      <c r="O295" s="40">
        <v>2095</v>
      </c>
      <c r="P295" s="34">
        <v>1875</v>
      </c>
      <c r="Q295" s="34">
        <v>1609</v>
      </c>
      <c r="R295" s="34">
        <v>1443</v>
      </c>
      <c r="S295" s="34">
        <v>1248</v>
      </c>
      <c r="T295" s="34">
        <v>1022</v>
      </c>
      <c r="U295" s="34">
        <v>670</v>
      </c>
      <c r="V295" s="34">
        <v>342</v>
      </c>
      <c r="W295" s="34">
        <v>143</v>
      </c>
      <c r="X295" s="34">
        <v>67</v>
      </c>
      <c r="Y295" s="41">
        <v>0</v>
      </c>
    </row>
    <row r="296" spans="1:25" x14ac:dyDescent="0.25">
      <c r="A296" s="31">
        <v>18</v>
      </c>
      <c r="B296" s="32">
        <v>8000</v>
      </c>
      <c r="C296" s="34">
        <v>8158</v>
      </c>
      <c r="D296" s="34">
        <v>7075</v>
      </c>
      <c r="E296" s="34">
        <v>6071</v>
      </c>
      <c r="F296" s="34">
        <v>5107</v>
      </c>
      <c r="G296" s="34">
        <v>4545</v>
      </c>
      <c r="H296" s="34">
        <v>4009</v>
      </c>
      <c r="I296" s="34">
        <v>3308</v>
      </c>
      <c r="J296" s="34">
        <v>3110</v>
      </c>
      <c r="K296" s="34">
        <v>2958</v>
      </c>
      <c r="L296" s="34">
        <v>2771</v>
      </c>
      <c r="M296" s="34">
        <v>2602</v>
      </c>
      <c r="N296" s="34">
        <v>2356</v>
      </c>
      <c r="O296" s="34">
        <v>2130</v>
      </c>
      <c r="P296" s="34">
        <v>1923</v>
      </c>
      <c r="Q296" s="34">
        <v>1698</v>
      </c>
      <c r="R296" s="34">
        <v>1501</v>
      </c>
      <c r="S296" s="34">
        <v>1304</v>
      </c>
      <c r="T296" s="34">
        <v>1084</v>
      </c>
      <c r="U296" s="34">
        <v>711</v>
      </c>
      <c r="V296" s="34">
        <v>364</v>
      </c>
      <c r="W296" s="34">
        <v>152</v>
      </c>
      <c r="X296" s="34">
        <v>71</v>
      </c>
      <c r="Y296" s="41">
        <v>0</v>
      </c>
    </row>
    <row r="297" spans="1:25" x14ac:dyDescent="0.25">
      <c r="A297" s="40"/>
      <c r="B297" s="32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32"/>
    </row>
    <row r="298" spans="1:25" x14ac:dyDescent="0.25">
      <c r="A298" s="31">
        <v>20</v>
      </c>
      <c r="B298" s="32">
        <v>0</v>
      </c>
      <c r="C298" s="34">
        <v>1654</v>
      </c>
      <c r="D298" s="34">
        <v>1497</v>
      </c>
      <c r="E298" s="34">
        <v>1378</v>
      </c>
      <c r="F298" s="34">
        <v>1240</v>
      </c>
      <c r="G298" s="34">
        <v>1185</v>
      </c>
      <c r="H298" s="34">
        <v>1179</v>
      </c>
      <c r="I298" s="34">
        <v>1141</v>
      </c>
      <c r="J298" s="34">
        <v>1092</v>
      </c>
      <c r="K298" s="34">
        <v>992</v>
      </c>
      <c r="L298" s="34">
        <v>947</v>
      </c>
      <c r="M298" s="34">
        <v>900</v>
      </c>
      <c r="N298" s="34">
        <v>872</v>
      </c>
      <c r="O298" s="34">
        <v>787</v>
      </c>
      <c r="P298" s="34">
        <v>719</v>
      </c>
      <c r="Q298" s="34">
        <v>646</v>
      </c>
      <c r="R298" s="34">
        <v>568</v>
      </c>
      <c r="S298" s="34">
        <v>493</v>
      </c>
      <c r="T298" s="34">
        <v>438</v>
      </c>
      <c r="U298" s="34">
        <v>347</v>
      </c>
      <c r="V298" s="34">
        <v>213</v>
      </c>
      <c r="W298" s="34">
        <v>94</v>
      </c>
      <c r="X298" s="34">
        <v>55</v>
      </c>
      <c r="Y298" s="41">
        <v>0</v>
      </c>
    </row>
    <row r="299" spans="1:25" x14ac:dyDescent="0.25">
      <c r="A299" s="31">
        <v>20</v>
      </c>
      <c r="B299" s="32">
        <v>50</v>
      </c>
      <c r="C299" s="34">
        <v>1692</v>
      </c>
      <c r="D299" s="34">
        <v>1489</v>
      </c>
      <c r="E299" s="34">
        <v>1356</v>
      </c>
      <c r="F299" s="34">
        <v>1213</v>
      </c>
      <c r="G299" s="34">
        <v>1172</v>
      </c>
      <c r="H299" s="34">
        <v>1163</v>
      </c>
      <c r="I299" s="34">
        <v>1123</v>
      </c>
      <c r="J299" s="34">
        <v>1077</v>
      </c>
      <c r="K299" s="34">
        <v>1004</v>
      </c>
      <c r="L299" s="34">
        <v>950</v>
      </c>
      <c r="M299" s="34">
        <v>898</v>
      </c>
      <c r="N299" s="34">
        <v>848</v>
      </c>
      <c r="O299" s="34">
        <v>780</v>
      </c>
      <c r="P299" s="34">
        <v>715</v>
      </c>
      <c r="Q299" s="34">
        <v>659</v>
      </c>
      <c r="R299" s="34">
        <v>575</v>
      </c>
      <c r="S299" s="34">
        <v>528</v>
      </c>
      <c r="T299" s="34">
        <v>451</v>
      </c>
      <c r="U299" s="34">
        <v>345</v>
      </c>
      <c r="V299" s="34">
        <v>230</v>
      </c>
      <c r="W299" s="34">
        <v>118</v>
      </c>
      <c r="X299" s="34">
        <v>73</v>
      </c>
      <c r="Y299" s="41">
        <v>0</v>
      </c>
    </row>
    <row r="300" spans="1:25" x14ac:dyDescent="0.25">
      <c r="A300" s="31">
        <v>20</v>
      </c>
      <c r="B300" s="32">
        <v>100</v>
      </c>
      <c r="C300" s="34">
        <v>1706</v>
      </c>
      <c r="D300" s="34">
        <v>1438</v>
      </c>
      <c r="E300" s="34">
        <v>1300</v>
      </c>
      <c r="F300" s="34">
        <v>1188</v>
      </c>
      <c r="G300" s="34">
        <v>1163</v>
      </c>
      <c r="H300" s="34">
        <v>1141</v>
      </c>
      <c r="I300" s="34">
        <v>1114</v>
      </c>
      <c r="J300" s="34">
        <v>1072</v>
      </c>
      <c r="K300" s="34">
        <v>1028</v>
      </c>
      <c r="L300" s="34">
        <v>974</v>
      </c>
      <c r="M300" s="34">
        <v>914</v>
      </c>
      <c r="N300" s="40">
        <v>840</v>
      </c>
      <c r="O300" s="40">
        <v>784</v>
      </c>
      <c r="P300" s="40">
        <v>709</v>
      </c>
      <c r="Q300" s="40">
        <v>656</v>
      </c>
      <c r="R300" s="40">
        <v>595</v>
      </c>
      <c r="S300" s="40">
        <v>540</v>
      </c>
      <c r="T300" s="40">
        <v>470</v>
      </c>
      <c r="U300" s="40">
        <v>343</v>
      </c>
      <c r="V300" s="40">
        <v>234</v>
      </c>
      <c r="W300" s="40">
        <v>137</v>
      </c>
      <c r="X300" s="40">
        <v>75</v>
      </c>
      <c r="Y300" s="32">
        <v>0</v>
      </c>
    </row>
    <row r="301" spans="1:25" x14ac:dyDescent="0.25">
      <c r="A301" s="31">
        <v>20</v>
      </c>
      <c r="B301" s="32">
        <v>300</v>
      </c>
      <c r="C301" s="34">
        <v>1739</v>
      </c>
      <c r="D301" s="34">
        <v>1427</v>
      </c>
      <c r="E301" s="34">
        <v>1208</v>
      </c>
      <c r="F301" s="34">
        <v>1130</v>
      </c>
      <c r="G301" s="34">
        <v>1110</v>
      </c>
      <c r="H301" s="40">
        <v>1080</v>
      </c>
      <c r="I301" s="40">
        <v>1070</v>
      </c>
      <c r="J301" s="40">
        <v>1020</v>
      </c>
      <c r="K301" s="40">
        <v>990</v>
      </c>
      <c r="L301" s="40">
        <v>945</v>
      </c>
      <c r="M301" s="40">
        <v>900</v>
      </c>
      <c r="N301" s="40">
        <v>830</v>
      </c>
      <c r="O301" s="40">
        <v>780</v>
      </c>
      <c r="P301" s="40">
        <v>700</v>
      </c>
      <c r="Q301" s="40">
        <v>640</v>
      </c>
      <c r="R301" s="40">
        <v>600</v>
      </c>
      <c r="S301" s="40">
        <v>542</v>
      </c>
      <c r="T301" s="40">
        <v>468</v>
      </c>
      <c r="U301" s="40">
        <v>288</v>
      </c>
      <c r="V301" s="40">
        <v>224</v>
      </c>
      <c r="W301" s="40">
        <v>131</v>
      </c>
      <c r="X301" s="40">
        <v>72</v>
      </c>
      <c r="Y301" s="32">
        <v>0</v>
      </c>
    </row>
    <row r="302" spans="1:25" x14ac:dyDescent="0.25">
      <c r="A302" s="31">
        <v>20</v>
      </c>
      <c r="B302" s="32">
        <v>500</v>
      </c>
      <c r="C302" s="34">
        <v>1744</v>
      </c>
      <c r="D302" s="40">
        <v>1338</v>
      </c>
      <c r="E302" s="40">
        <v>1183</v>
      </c>
      <c r="F302" s="40">
        <v>1030</v>
      </c>
      <c r="G302" s="40">
        <v>975</v>
      </c>
      <c r="H302" s="40">
        <v>940</v>
      </c>
      <c r="I302" s="40">
        <v>903</v>
      </c>
      <c r="J302" s="40">
        <v>879</v>
      </c>
      <c r="K302" s="40">
        <v>835</v>
      </c>
      <c r="L302" s="40">
        <v>797</v>
      </c>
      <c r="M302" s="40">
        <v>761</v>
      </c>
      <c r="N302" s="40">
        <v>729</v>
      </c>
      <c r="O302" s="40">
        <v>680</v>
      </c>
      <c r="P302" s="40">
        <v>624</v>
      </c>
      <c r="Q302" s="40">
        <v>545</v>
      </c>
      <c r="R302" s="40">
        <v>488</v>
      </c>
      <c r="S302" s="40">
        <v>438</v>
      </c>
      <c r="T302" s="40">
        <v>388</v>
      </c>
      <c r="U302" s="40">
        <v>204</v>
      </c>
      <c r="V302" s="40">
        <v>153</v>
      </c>
      <c r="W302" s="40">
        <v>90</v>
      </c>
      <c r="X302" s="34">
        <v>53</v>
      </c>
      <c r="Y302" s="41">
        <v>0</v>
      </c>
    </row>
    <row r="303" spans="1:25" x14ac:dyDescent="0.25">
      <c r="A303" s="31">
        <v>20</v>
      </c>
      <c r="B303" s="32">
        <v>750</v>
      </c>
      <c r="C303" s="34">
        <v>1796</v>
      </c>
      <c r="D303" s="40">
        <v>1502</v>
      </c>
      <c r="E303" s="40">
        <v>1237</v>
      </c>
      <c r="F303" s="40">
        <v>1106</v>
      </c>
      <c r="G303" s="40">
        <v>1029</v>
      </c>
      <c r="H303" s="40">
        <v>968</v>
      </c>
      <c r="I303" s="40">
        <v>914</v>
      </c>
      <c r="J303" s="40">
        <v>810</v>
      </c>
      <c r="K303" s="40">
        <v>766</v>
      </c>
      <c r="L303" s="40">
        <v>730</v>
      </c>
      <c r="M303" s="40">
        <v>695</v>
      </c>
      <c r="N303" s="40">
        <v>637</v>
      </c>
      <c r="O303" s="40">
        <v>585</v>
      </c>
      <c r="P303" s="40">
        <v>550</v>
      </c>
      <c r="Q303" s="40">
        <v>502</v>
      </c>
      <c r="R303" s="40">
        <v>444</v>
      </c>
      <c r="S303" s="40">
        <v>342</v>
      </c>
      <c r="T303" s="40">
        <v>292</v>
      </c>
      <c r="U303" s="40">
        <v>170</v>
      </c>
      <c r="V303" s="40">
        <v>109</v>
      </c>
      <c r="W303" s="40">
        <v>75</v>
      </c>
      <c r="X303" s="34">
        <v>41</v>
      </c>
      <c r="Y303" s="41">
        <v>0</v>
      </c>
    </row>
    <row r="304" spans="1:25" x14ac:dyDescent="0.25">
      <c r="A304" s="31">
        <v>20</v>
      </c>
      <c r="B304" s="32">
        <v>1000</v>
      </c>
      <c r="C304" s="40">
        <v>1882</v>
      </c>
      <c r="D304" s="40">
        <v>1636</v>
      </c>
      <c r="E304" s="40">
        <v>1409</v>
      </c>
      <c r="F304" s="40">
        <v>1200</v>
      </c>
      <c r="G304" s="40">
        <v>1133</v>
      </c>
      <c r="H304" s="40">
        <v>1086</v>
      </c>
      <c r="I304" s="40">
        <v>1026</v>
      </c>
      <c r="J304" s="40">
        <v>965</v>
      </c>
      <c r="K304" s="40">
        <v>876</v>
      </c>
      <c r="L304" s="40">
        <v>817</v>
      </c>
      <c r="M304" s="40">
        <v>761</v>
      </c>
      <c r="N304" s="40">
        <v>650</v>
      </c>
      <c r="O304" s="40">
        <v>607</v>
      </c>
      <c r="P304" s="40">
        <v>561</v>
      </c>
      <c r="Q304" s="40">
        <v>508</v>
      </c>
      <c r="R304" s="40">
        <v>419</v>
      </c>
      <c r="S304" s="40">
        <v>293</v>
      </c>
      <c r="T304" s="40">
        <v>246</v>
      </c>
      <c r="U304" s="40">
        <v>126</v>
      </c>
      <c r="V304" s="34">
        <v>74</v>
      </c>
      <c r="W304" s="34">
        <v>49</v>
      </c>
      <c r="X304" s="34">
        <v>27</v>
      </c>
      <c r="Y304" s="41">
        <v>0</v>
      </c>
    </row>
    <row r="305" spans="1:25" x14ac:dyDescent="0.25">
      <c r="A305" s="31">
        <v>20</v>
      </c>
      <c r="B305" s="32">
        <v>1500</v>
      </c>
      <c r="C305" s="40">
        <v>2459</v>
      </c>
      <c r="D305" s="40">
        <v>2183</v>
      </c>
      <c r="E305" s="40">
        <v>1889</v>
      </c>
      <c r="F305" s="40">
        <v>1665</v>
      </c>
      <c r="G305" s="40">
        <v>1549</v>
      </c>
      <c r="H305" s="40">
        <v>1428</v>
      </c>
      <c r="I305" s="40">
        <v>1318</v>
      </c>
      <c r="J305" s="40">
        <v>1166</v>
      </c>
      <c r="K305" s="40">
        <v>1045</v>
      </c>
      <c r="L305" s="40">
        <v>982</v>
      </c>
      <c r="M305" s="40">
        <v>905</v>
      </c>
      <c r="N305" s="40">
        <v>835</v>
      </c>
      <c r="O305" s="40">
        <v>763</v>
      </c>
      <c r="P305" s="40">
        <v>700</v>
      </c>
      <c r="Q305" s="40">
        <v>620</v>
      </c>
      <c r="R305" s="40">
        <v>439</v>
      </c>
      <c r="S305" s="40">
        <v>286</v>
      </c>
      <c r="T305" s="40">
        <v>224</v>
      </c>
      <c r="U305" s="40">
        <v>130</v>
      </c>
      <c r="V305" s="34">
        <v>75</v>
      </c>
      <c r="W305" s="34">
        <v>42</v>
      </c>
      <c r="X305" s="34">
        <v>22</v>
      </c>
      <c r="Y305" s="41">
        <v>0</v>
      </c>
    </row>
    <row r="306" spans="1:25" x14ac:dyDescent="0.25">
      <c r="A306" s="31">
        <v>20</v>
      </c>
      <c r="B306" s="32">
        <v>2000</v>
      </c>
      <c r="C306" s="40">
        <v>3017</v>
      </c>
      <c r="D306" s="40">
        <v>2693</v>
      </c>
      <c r="E306" s="40">
        <v>2372</v>
      </c>
      <c r="F306" s="40">
        <v>2088</v>
      </c>
      <c r="G306" s="40">
        <v>1927</v>
      </c>
      <c r="H306" s="40">
        <v>1729</v>
      </c>
      <c r="I306" s="40">
        <v>1584</v>
      </c>
      <c r="J306" s="40">
        <v>1395</v>
      </c>
      <c r="K306" s="40">
        <v>1284</v>
      </c>
      <c r="L306" s="40">
        <v>1221</v>
      </c>
      <c r="M306" s="40">
        <v>1133</v>
      </c>
      <c r="N306" s="40">
        <v>1046</v>
      </c>
      <c r="O306" s="40">
        <v>977</v>
      </c>
      <c r="P306" s="40">
        <v>872</v>
      </c>
      <c r="Q306" s="40">
        <v>812</v>
      </c>
      <c r="R306" s="40">
        <v>611</v>
      </c>
      <c r="S306" s="40">
        <v>423</v>
      </c>
      <c r="T306" s="40">
        <v>268</v>
      </c>
      <c r="U306" s="40">
        <v>152</v>
      </c>
      <c r="V306" s="34">
        <v>89</v>
      </c>
      <c r="W306" s="34">
        <v>44</v>
      </c>
      <c r="X306" s="34">
        <v>21</v>
      </c>
      <c r="Y306" s="41">
        <v>0</v>
      </c>
    </row>
    <row r="307" spans="1:25" x14ac:dyDescent="0.25">
      <c r="A307" s="31">
        <v>20</v>
      </c>
      <c r="B307" s="32">
        <v>2500</v>
      </c>
      <c r="C307" s="40">
        <v>3580</v>
      </c>
      <c r="D307" s="40">
        <v>3154</v>
      </c>
      <c r="E307" s="40">
        <v>2849</v>
      </c>
      <c r="F307" s="40">
        <v>2542</v>
      </c>
      <c r="G307" s="40">
        <v>2239</v>
      </c>
      <c r="H307" s="40">
        <v>1971</v>
      </c>
      <c r="I307" s="40">
        <v>1775</v>
      </c>
      <c r="J307" s="40">
        <v>1612</v>
      </c>
      <c r="K307" s="40">
        <v>1465</v>
      </c>
      <c r="L307" s="40">
        <v>1360</v>
      </c>
      <c r="M307" s="40">
        <v>1230</v>
      </c>
      <c r="N307" s="40">
        <v>1154</v>
      </c>
      <c r="O307" s="40">
        <v>1105</v>
      </c>
      <c r="P307" s="40">
        <v>971</v>
      </c>
      <c r="Q307" s="40">
        <v>853</v>
      </c>
      <c r="R307" s="40">
        <v>688</v>
      </c>
      <c r="S307" s="40">
        <v>473</v>
      </c>
      <c r="T307" s="40">
        <v>377</v>
      </c>
      <c r="U307" s="40">
        <v>228</v>
      </c>
      <c r="V307" s="34">
        <v>117</v>
      </c>
      <c r="W307" s="34">
        <v>46</v>
      </c>
      <c r="X307" s="34">
        <v>21</v>
      </c>
      <c r="Y307" s="41">
        <v>0</v>
      </c>
    </row>
    <row r="308" spans="1:25" x14ac:dyDescent="0.25">
      <c r="A308" s="31">
        <v>20</v>
      </c>
      <c r="B308" s="32">
        <v>3000</v>
      </c>
      <c r="C308" s="40">
        <v>3946</v>
      </c>
      <c r="D308" s="40">
        <v>3437</v>
      </c>
      <c r="E308" s="40">
        <v>3038</v>
      </c>
      <c r="F308" s="40">
        <v>2636</v>
      </c>
      <c r="G308" s="40">
        <v>2359</v>
      </c>
      <c r="H308" s="40">
        <v>2051</v>
      </c>
      <c r="I308" s="40">
        <v>1906</v>
      </c>
      <c r="J308" s="40">
        <v>1702</v>
      </c>
      <c r="K308" s="40">
        <v>1562</v>
      </c>
      <c r="L308" s="40">
        <v>1423</v>
      </c>
      <c r="M308" s="40">
        <v>1270</v>
      </c>
      <c r="N308" s="40">
        <v>1202</v>
      </c>
      <c r="O308" s="40">
        <v>1157</v>
      </c>
      <c r="P308" s="40">
        <v>1033</v>
      </c>
      <c r="Q308" s="40">
        <v>915</v>
      </c>
      <c r="R308" s="40">
        <v>703</v>
      </c>
      <c r="S308" s="40">
        <v>569</v>
      </c>
      <c r="T308" s="40">
        <v>450</v>
      </c>
      <c r="U308" s="40">
        <v>290</v>
      </c>
      <c r="V308" s="34">
        <v>134</v>
      </c>
      <c r="W308" s="34">
        <v>50</v>
      </c>
      <c r="X308" s="34">
        <v>21</v>
      </c>
      <c r="Y308" s="41">
        <v>0</v>
      </c>
    </row>
    <row r="309" spans="1:25" x14ac:dyDescent="0.25">
      <c r="A309" s="31">
        <v>20</v>
      </c>
      <c r="B309" s="32">
        <v>3500</v>
      </c>
      <c r="C309" s="40">
        <v>4162</v>
      </c>
      <c r="D309" s="40">
        <v>3558</v>
      </c>
      <c r="E309" s="40">
        <v>3067</v>
      </c>
      <c r="F309" s="40">
        <v>2640</v>
      </c>
      <c r="G309" s="40">
        <v>2400</v>
      </c>
      <c r="H309" s="40">
        <v>2139</v>
      </c>
      <c r="I309" s="40">
        <v>2011</v>
      </c>
      <c r="J309" s="40">
        <v>1828</v>
      </c>
      <c r="K309" s="40">
        <v>1658</v>
      </c>
      <c r="L309" s="40">
        <v>1510</v>
      </c>
      <c r="M309" s="40">
        <v>1380</v>
      </c>
      <c r="N309" s="40">
        <v>1264</v>
      </c>
      <c r="O309" s="40">
        <v>1190</v>
      </c>
      <c r="P309" s="40">
        <v>1069</v>
      </c>
      <c r="Q309" s="40">
        <v>961</v>
      </c>
      <c r="R309" s="40">
        <v>791</v>
      </c>
      <c r="S309" s="40">
        <v>617</v>
      </c>
      <c r="T309" s="40">
        <v>536</v>
      </c>
      <c r="U309" s="40">
        <v>367</v>
      </c>
      <c r="V309" s="34">
        <v>159</v>
      </c>
      <c r="W309" s="34">
        <v>54</v>
      </c>
      <c r="X309" s="34">
        <v>22</v>
      </c>
      <c r="Y309" s="41">
        <v>0</v>
      </c>
    </row>
    <row r="310" spans="1:25" x14ac:dyDescent="0.25">
      <c r="A310" s="31">
        <v>20</v>
      </c>
      <c r="B310" s="32">
        <v>4000</v>
      </c>
      <c r="C310" s="34">
        <v>4261</v>
      </c>
      <c r="D310" s="34">
        <v>3767</v>
      </c>
      <c r="E310" s="34">
        <v>3268</v>
      </c>
      <c r="F310" s="34">
        <v>2802</v>
      </c>
      <c r="G310" s="40">
        <v>2543</v>
      </c>
      <c r="H310" s="40">
        <v>2280</v>
      </c>
      <c r="I310" s="40">
        <v>2138</v>
      </c>
      <c r="J310" s="40">
        <v>1992</v>
      </c>
      <c r="K310" s="40">
        <v>1875</v>
      </c>
      <c r="L310" s="40">
        <v>1702</v>
      </c>
      <c r="M310" s="40">
        <v>1585</v>
      </c>
      <c r="N310" s="40">
        <v>1465</v>
      </c>
      <c r="O310" s="40">
        <v>1341</v>
      </c>
      <c r="P310" s="40">
        <v>1244</v>
      </c>
      <c r="Q310" s="40">
        <v>1086</v>
      </c>
      <c r="R310" s="40">
        <v>920</v>
      </c>
      <c r="S310" s="40">
        <v>741</v>
      </c>
      <c r="T310" s="40">
        <v>649</v>
      </c>
      <c r="U310" s="40">
        <v>439</v>
      </c>
      <c r="V310" s="34">
        <v>178</v>
      </c>
      <c r="W310" s="34">
        <v>57</v>
      </c>
      <c r="X310" s="34">
        <v>23</v>
      </c>
      <c r="Y310" s="41">
        <v>0</v>
      </c>
    </row>
    <row r="311" spans="1:25" x14ac:dyDescent="0.25">
      <c r="A311" s="31">
        <v>20</v>
      </c>
      <c r="B311" s="32">
        <v>4500</v>
      </c>
      <c r="C311" s="34">
        <v>4358</v>
      </c>
      <c r="D311" s="34">
        <v>3923</v>
      </c>
      <c r="E311" s="40">
        <v>3486</v>
      </c>
      <c r="F311" s="40">
        <v>2992</v>
      </c>
      <c r="G311" s="40">
        <v>2700</v>
      </c>
      <c r="H311" s="40">
        <v>2470</v>
      </c>
      <c r="I311" s="40">
        <v>2247</v>
      </c>
      <c r="J311" s="40">
        <v>2101</v>
      </c>
      <c r="K311" s="40">
        <v>1915</v>
      </c>
      <c r="L311" s="40">
        <v>1788</v>
      </c>
      <c r="M311" s="40">
        <v>1674</v>
      </c>
      <c r="N311" s="40">
        <v>1539</v>
      </c>
      <c r="O311" s="40">
        <v>1441</v>
      </c>
      <c r="P311" s="40">
        <v>1344</v>
      </c>
      <c r="Q311" s="40">
        <v>1129</v>
      </c>
      <c r="R311" s="40">
        <v>992</v>
      </c>
      <c r="S311" s="40">
        <v>819</v>
      </c>
      <c r="T311" s="40">
        <v>690</v>
      </c>
      <c r="U311" s="40">
        <v>457</v>
      </c>
      <c r="V311" s="34">
        <v>189</v>
      </c>
      <c r="W311" s="34">
        <v>61</v>
      </c>
      <c r="X311" s="34">
        <v>24</v>
      </c>
      <c r="Y311" s="41">
        <v>0</v>
      </c>
    </row>
    <row r="312" spans="1:25" x14ac:dyDescent="0.25">
      <c r="A312" s="31">
        <v>20</v>
      </c>
      <c r="B312" s="32">
        <v>5000</v>
      </c>
      <c r="C312" s="34">
        <v>4517</v>
      </c>
      <c r="D312" s="40">
        <v>4139</v>
      </c>
      <c r="E312" s="40">
        <v>3648</v>
      </c>
      <c r="F312" s="40">
        <v>3114</v>
      </c>
      <c r="G312" s="40">
        <v>2874</v>
      </c>
      <c r="H312" s="40">
        <v>2595</v>
      </c>
      <c r="I312" s="40">
        <v>2381</v>
      </c>
      <c r="J312" s="40">
        <v>2211</v>
      </c>
      <c r="K312" s="40">
        <v>1995</v>
      </c>
      <c r="L312" s="40">
        <v>1818</v>
      </c>
      <c r="M312" s="40">
        <v>1716</v>
      </c>
      <c r="N312" s="40">
        <v>1631</v>
      </c>
      <c r="O312" s="40">
        <v>1517</v>
      </c>
      <c r="P312" s="40">
        <v>1390</v>
      </c>
      <c r="Q312" s="40">
        <v>1167</v>
      </c>
      <c r="R312" s="40">
        <v>1081</v>
      </c>
      <c r="S312" s="40">
        <v>829</v>
      </c>
      <c r="T312" s="40">
        <v>739</v>
      </c>
      <c r="U312" s="34">
        <v>476</v>
      </c>
      <c r="V312" s="34">
        <v>208</v>
      </c>
      <c r="W312" s="34">
        <v>68</v>
      </c>
      <c r="X312" s="34">
        <v>28</v>
      </c>
      <c r="Y312" s="41">
        <v>0</v>
      </c>
    </row>
    <row r="313" spans="1:25" x14ac:dyDescent="0.25">
      <c r="A313" s="31">
        <v>20</v>
      </c>
      <c r="B313" s="32">
        <v>5500</v>
      </c>
      <c r="C313" s="34">
        <v>4718</v>
      </c>
      <c r="D313" s="40">
        <v>4385</v>
      </c>
      <c r="E313" s="40">
        <v>3876</v>
      </c>
      <c r="F313" s="40">
        <v>3323</v>
      </c>
      <c r="G313" s="40">
        <v>3012</v>
      </c>
      <c r="H313" s="40">
        <v>2758</v>
      </c>
      <c r="I313" s="40">
        <v>2579</v>
      </c>
      <c r="J313" s="40">
        <v>2409</v>
      </c>
      <c r="K313" s="40">
        <v>2214</v>
      </c>
      <c r="L313" s="40">
        <v>2051</v>
      </c>
      <c r="M313" s="40">
        <v>1957</v>
      </c>
      <c r="N313" s="40">
        <v>1834</v>
      </c>
      <c r="O313" s="40">
        <v>1687</v>
      </c>
      <c r="P313" s="40">
        <v>1561</v>
      </c>
      <c r="Q313" s="40">
        <v>1328</v>
      </c>
      <c r="R313" s="40">
        <v>1215</v>
      </c>
      <c r="S313" s="40">
        <v>987</v>
      </c>
      <c r="T313" s="40">
        <v>799</v>
      </c>
      <c r="U313" s="34">
        <v>521</v>
      </c>
      <c r="V313" s="34">
        <v>230</v>
      </c>
      <c r="W313" s="34">
        <v>79</v>
      </c>
      <c r="X313" s="34">
        <v>33</v>
      </c>
      <c r="Y313" s="41">
        <v>0</v>
      </c>
    </row>
    <row r="314" spans="1:25" x14ac:dyDescent="0.25">
      <c r="A314" s="31">
        <v>20</v>
      </c>
      <c r="B314" s="32">
        <v>6000</v>
      </c>
      <c r="C314" s="34">
        <v>4922</v>
      </c>
      <c r="D314" s="34">
        <v>4545</v>
      </c>
      <c r="E314" s="34">
        <v>3983</v>
      </c>
      <c r="F314" s="34">
        <v>3420</v>
      </c>
      <c r="G314" s="40">
        <v>3175</v>
      </c>
      <c r="H314" s="40">
        <v>2922</v>
      </c>
      <c r="I314" s="40">
        <v>2691</v>
      </c>
      <c r="J314" s="40">
        <v>2519</v>
      </c>
      <c r="K314" s="40">
        <v>2353</v>
      </c>
      <c r="L314" s="40">
        <v>2183</v>
      </c>
      <c r="M314" s="34">
        <v>2082</v>
      </c>
      <c r="N314" s="40">
        <v>1969</v>
      </c>
      <c r="O314" s="40">
        <v>1796</v>
      </c>
      <c r="P314" s="34">
        <v>1639</v>
      </c>
      <c r="Q314" s="35">
        <v>1413</v>
      </c>
      <c r="R314" s="35">
        <v>1311</v>
      </c>
      <c r="S314" s="35">
        <v>1080</v>
      </c>
      <c r="T314" s="34">
        <v>884</v>
      </c>
      <c r="U314" s="34">
        <v>576</v>
      </c>
      <c r="V314" s="34">
        <v>259</v>
      </c>
      <c r="W314" s="34">
        <v>94</v>
      </c>
      <c r="X314" s="34">
        <v>40</v>
      </c>
      <c r="Y314" s="41">
        <v>0</v>
      </c>
    </row>
    <row r="315" spans="1:25" x14ac:dyDescent="0.25">
      <c r="A315" s="31">
        <v>20</v>
      </c>
      <c r="B315" s="32">
        <v>6500</v>
      </c>
      <c r="C315" s="34">
        <v>5124</v>
      </c>
      <c r="D315" s="34">
        <v>4667</v>
      </c>
      <c r="E315" s="34">
        <v>4071</v>
      </c>
      <c r="F315" s="40">
        <v>3515</v>
      </c>
      <c r="G315" s="40">
        <v>3249</v>
      </c>
      <c r="H315" s="40">
        <v>3017</v>
      </c>
      <c r="I315" s="40">
        <v>2812</v>
      </c>
      <c r="J315" s="40">
        <v>2638</v>
      </c>
      <c r="K315" s="40">
        <v>2469</v>
      </c>
      <c r="L315" s="40">
        <v>2247</v>
      </c>
      <c r="M315" s="40">
        <v>2159</v>
      </c>
      <c r="N315" s="40">
        <v>2024</v>
      </c>
      <c r="O315" s="34">
        <v>1893</v>
      </c>
      <c r="P315" s="34">
        <v>1721</v>
      </c>
      <c r="Q315" s="35">
        <v>1514</v>
      </c>
      <c r="R315" s="35">
        <v>1362</v>
      </c>
      <c r="S315" s="34">
        <v>1155</v>
      </c>
      <c r="T315" s="34">
        <v>939</v>
      </c>
      <c r="U315" s="34">
        <v>607</v>
      </c>
      <c r="V315" s="34">
        <v>280</v>
      </c>
      <c r="W315" s="34">
        <v>109</v>
      </c>
      <c r="X315" s="34">
        <v>47</v>
      </c>
      <c r="Y315" s="41">
        <v>0</v>
      </c>
    </row>
    <row r="316" spans="1:25" x14ac:dyDescent="0.25">
      <c r="A316" s="31">
        <v>20</v>
      </c>
      <c r="B316" s="32">
        <v>7000</v>
      </c>
      <c r="C316" s="34">
        <v>5322</v>
      </c>
      <c r="D316" s="34">
        <v>4730</v>
      </c>
      <c r="E316" s="34">
        <v>4120</v>
      </c>
      <c r="F316" s="40">
        <v>3536</v>
      </c>
      <c r="G316" s="40">
        <v>3303</v>
      </c>
      <c r="H316" s="34">
        <v>3069</v>
      </c>
      <c r="I316" s="34">
        <v>2878</v>
      </c>
      <c r="J316" s="34">
        <v>2731</v>
      </c>
      <c r="K316" s="40">
        <v>2531</v>
      </c>
      <c r="L316" s="40">
        <v>2333</v>
      </c>
      <c r="M316" s="40">
        <v>2205</v>
      </c>
      <c r="N316" s="40">
        <v>2098</v>
      </c>
      <c r="O316" s="34">
        <v>1934</v>
      </c>
      <c r="P316" s="34">
        <v>1757</v>
      </c>
      <c r="Q316" s="34">
        <v>1553</v>
      </c>
      <c r="R316" s="34">
        <v>1404</v>
      </c>
      <c r="S316" s="34">
        <v>1201</v>
      </c>
      <c r="T316" s="34">
        <v>986</v>
      </c>
      <c r="U316" s="34">
        <v>639</v>
      </c>
      <c r="V316" s="34">
        <v>302</v>
      </c>
      <c r="W316" s="34">
        <v>123</v>
      </c>
      <c r="X316" s="34">
        <v>52</v>
      </c>
      <c r="Y316" s="41">
        <v>0</v>
      </c>
    </row>
    <row r="317" spans="1:25" x14ac:dyDescent="0.25">
      <c r="A317" s="31">
        <v>20</v>
      </c>
      <c r="B317" s="32">
        <v>7500</v>
      </c>
      <c r="C317" s="34">
        <v>5538</v>
      </c>
      <c r="D317" s="34">
        <v>4808</v>
      </c>
      <c r="E317" s="34">
        <v>4165</v>
      </c>
      <c r="F317" s="34">
        <v>3580</v>
      </c>
      <c r="G317" s="34">
        <v>3336</v>
      </c>
      <c r="H317" s="34">
        <v>3093</v>
      </c>
      <c r="I317" s="34">
        <v>2892</v>
      </c>
      <c r="J317" s="34">
        <v>2771</v>
      </c>
      <c r="K317" s="40">
        <v>2599</v>
      </c>
      <c r="L317" s="40">
        <v>2396</v>
      </c>
      <c r="M317" s="34">
        <v>2282</v>
      </c>
      <c r="N317" s="34">
        <v>2128</v>
      </c>
      <c r="O317" s="34">
        <v>1964</v>
      </c>
      <c r="P317" s="34">
        <v>1774</v>
      </c>
      <c r="Q317" s="34">
        <v>1588</v>
      </c>
      <c r="R317" s="34">
        <v>1436</v>
      </c>
      <c r="S317" s="34">
        <v>1244</v>
      </c>
      <c r="T317" s="34">
        <v>1028</v>
      </c>
      <c r="U317" s="34">
        <v>679</v>
      </c>
      <c r="V317" s="34">
        <v>322</v>
      </c>
      <c r="W317" s="34">
        <v>128</v>
      </c>
      <c r="X317" s="34">
        <v>56</v>
      </c>
      <c r="Y317" s="41">
        <v>0</v>
      </c>
    </row>
    <row r="318" spans="1:25" x14ac:dyDescent="0.25">
      <c r="A318" s="31">
        <v>20</v>
      </c>
      <c r="B318" s="32">
        <v>8000</v>
      </c>
      <c r="C318" s="34">
        <v>5768</v>
      </c>
      <c r="D318" s="34">
        <v>4925</v>
      </c>
      <c r="E318" s="34">
        <v>4220</v>
      </c>
      <c r="F318" s="34">
        <v>3625</v>
      </c>
      <c r="G318" s="34">
        <v>3375</v>
      </c>
      <c r="H318" s="34">
        <v>3155</v>
      </c>
      <c r="I318" s="34">
        <v>2951</v>
      </c>
      <c r="J318" s="34">
        <v>2843</v>
      </c>
      <c r="K318" s="34">
        <v>2697</v>
      </c>
      <c r="L318" s="34">
        <v>2484</v>
      </c>
      <c r="M318" s="34">
        <v>2345</v>
      </c>
      <c r="N318" s="34">
        <v>2177</v>
      </c>
      <c r="O318" s="34">
        <v>2017</v>
      </c>
      <c r="P318" s="34">
        <v>1850</v>
      </c>
      <c r="Q318" s="34">
        <v>1667</v>
      </c>
      <c r="R318" s="34">
        <v>1484</v>
      </c>
      <c r="S318" s="34">
        <v>1289</v>
      </c>
      <c r="T318" s="34">
        <v>1074</v>
      </c>
      <c r="U318" s="34">
        <v>699</v>
      </c>
      <c r="V318" s="34">
        <v>330</v>
      </c>
      <c r="W318" s="34">
        <v>130</v>
      </c>
      <c r="X318" s="34">
        <v>57</v>
      </c>
      <c r="Y318" s="41">
        <v>0</v>
      </c>
    </row>
    <row r="319" spans="1:25" x14ac:dyDescent="0.25">
      <c r="A319" s="40"/>
      <c r="B319" s="32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32"/>
    </row>
    <row r="320" spans="1:25" x14ac:dyDescent="0.25">
      <c r="A320" s="31">
        <v>21</v>
      </c>
      <c r="B320" s="32">
        <v>0</v>
      </c>
      <c r="C320" s="34">
        <v>1584</v>
      </c>
      <c r="D320" s="34">
        <v>1462</v>
      </c>
      <c r="E320" s="34">
        <v>1324</v>
      </c>
      <c r="F320" s="34">
        <v>1222</v>
      </c>
      <c r="G320" s="34">
        <v>1184</v>
      </c>
      <c r="H320" s="34">
        <v>1147</v>
      </c>
      <c r="I320" s="34">
        <v>1084</v>
      </c>
      <c r="J320" s="34">
        <v>1008</v>
      </c>
      <c r="K320" s="34">
        <v>939</v>
      </c>
      <c r="L320" s="34">
        <v>904</v>
      </c>
      <c r="M320" s="34">
        <v>821</v>
      </c>
      <c r="N320" s="34">
        <v>733</v>
      </c>
      <c r="O320" s="34">
        <v>644</v>
      </c>
      <c r="P320" s="34">
        <v>570</v>
      </c>
      <c r="Q320" s="34">
        <v>501</v>
      </c>
      <c r="R320" s="34">
        <v>440</v>
      </c>
      <c r="S320" s="34">
        <v>415</v>
      </c>
      <c r="T320" s="34">
        <v>366</v>
      </c>
      <c r="U320" s="34">
        <v>309</v>
      </c>
      <c r="V320" s="34">
        <v>194</v>
      </c>
      <c r="W320" s="34">
        <v>84</v>
      </c>
      <c r="X320" s="34">
        <v>45</v>
      </c>
      <c r="Y320" s="41">
        <v>0</v>
      </c>
    </row>
    <row r="321" spans="1:25" x14ac:dyDescent="0.25">
      <c r="A321" s="31">
        <v>21</v>
      </c>
      <c r="B321" s="32">
        <v>50</v>
      </c>
      <c r="C321" s="34">
        <v>1587</v>
      </c>
      <c r="D321" s="34">
        <v>1456</v>
      </c>
      <c r="E321" s="34">
        <v>1301</v>
      </c>
      <c r="F321" s="34">
        <v>1194</v>
      </c>
      <c r="G321" s="34">
        <v>1164</v>
      </c>
      <c r="H321" s="34">
        <v>1119</v>
      </c>
      <c r="I321" s="34">
        <v>1062</v>
      </c>
      <c r="J321" s="34">
        <v>999</v>
      </c>
      <c r="K321" s="34">
        <v>938</v>
      </c>
      <c r="L321" s="34">
        <v>900</v>
      </c>
      <c r="M321" s="34">
        <v>823</v>
      </c>
      <c r="N321" s="34">
        <v>736</v>
      </c>
      <c r="O321" s="34">
        <v>685</v>
      </c>
      <c r="P321" s="34">
        <v>650</v>
      </c>
      <c r="Q321" s="34">
        <v>578</v>
      </c>
      <c r="R321" s="34">
        <v>501</v>
      </c>
      <c r="S321" s="34">
        <v>457</v>
      </c>
      <c r="T321" s="34">
        <v>411</v>
      </c>
      <c r="U321" s="34">
        <v>303</v>
      </c>
      <c r="V321" s="34">
        <v>197</v>
      </c>
      <c r="W321" s="34">
        <v>99</v>
      </c>
      <c r="X321" s="34">
        <v>53</v>
      </c>
      <c r="Y321" s="41">
        <v>0</v>
      </c>
    </row>
    <row r="322" spans="1:25" x14ac:dyDescent="0.25">
      <c r="A322" s="31">
        <v>21</v>
      </c>
      <c r="B322" s="32">
        <v>100</v>
      </c>
      <c r="C322" s="34">
        <v>1589</v>
      </c>
      <c r="D322" s="34">
        <v>1439</v>
      </c>
      <c r="E322" s="34">
        <v>1270</v>
      </c>
      <c r="F322" s="34">
        <v>1177</v>
      </c>
      <c r="G322" s="34">
        <v>1124</v>
      </c>
      <c r="H322" s="34">
        <v>1111</v>
      </c>
      <c r="I322" s="34">
        <v>1060</v>
      </c>
      <c r="J322" s="34">
        <v>992</v>
      </c>
      <c r="K322" s="34">
        <v>948</v>
      </c>
      <c r="L322" s="34">
        <v>894</v>
      </c>
      <c r="M322" s="34">
        <v>826</v>
      </c>
      <c r="N322" s="34">
        <v>739</v>
      </c>
      <c r="O322" s="34">
        <v>697</v>
      </c>
      <c r="P322" s="34">
        <v>668</v>
      </c>
      <c r="Q322" s="34">
        <v>599</v>
      </c>
      <c r="R322" s="34">
        <v>527</v>
      </c>
      <c r="S322" s="34">
        <v>469</v>
      </c>
      <c r="T322" s="34">
        <v>417</v>
      </c>
      <c r="U322" s="40">
        <v>300</v>
      </c>
      <c r="V322" s="40">
        <v>198</v>
      </c>
      <c r="W322" s="40">
        <v>102</v>
      </c>
      <c r="X322" s="40">
        <v>55</v>
      </c>
      <c r="Y322" s="32">
        <v>0</v>
      </c>
    </row>
    <row r="323" spans="1:25" x14ac:dyDescent="0.25">
      <c r="A323" s="31">
        <v>21</v>
      </c>
      <c r="B323" s="32">
        <v>300</v>
      </c>
      <c r="C323" s="34">
        <v>1601</v>
      </c>
      <c r="D323" s="34">
        <v>1314</v>
      </c>
      <c r="E323" s="34">
        <v>1133</v>
      </c>
      <c r="F323" s="34">
        <v>1114</v>
      </c>
      <c r="G323" s="34">
        <v>1102</v>
      </c>
      <c r="H323" s="34">
        <v>1069</v>
      </c>
      <c r="I323" s="34">
        <v>1037</v>
      </c>
      <c r="J323" s="34">
        <v>959</v>
      </c>
      <c r="K323" s="34">
        <v>925</v>
      </c>
      <c r="L323" s="34">
        <v>857</v>
      </c>
      <c r="M323" s="34">
        <v>801</v>
      </c>
      <c r="N323" s="34">
        <v>730</v>
      </c>
      <c r="O323" s="34">
        <v>700</v>
      </c>
      <c r="P323" s="34">
        <v>669</v>
      </c>
      <c r="Q323" s="34">
        <v>600</v>
      </c>
      <c r="R323" s="34">
        <v>510</v>
      </c>
      <c r="S323" s="34">
        <v>473</v>
      </c>
      <c r="T323" s="34">
        <v>399</v>
      </c>
      <c r="U323" s="40">
        <v>278</v>
      </c>
      <c r="V323" s="40">
        <v>169</v>
      </c>
      <c r="W323" s="40">
        <v>97</v>
      </c>
      <c r="X323" s="40">
        <v>56</v>
      </c>
      <c r="Y323" s="32">
        <v>0</v>
      </c>
    </row>
    <row r="324" spans="1:25" x14ac:dyDescent="0.25">
      <c r="A324" s="31">
        <v>21</v>
      </c>
      <c r="B324" s="32">
        <v>500</v>
      </c>
      <c r="C324" s="34">
        <v>1617</v>
      </c>
      <c r="D324" s="34">
        <v>1307</v>
      </c>
      <c r="E324" s="34">
        <v>990</v>
      </c>
      <c r="F324" s="34">
        <v>981</v>
      </c>
      <c r="G324" s="34">
        <v>959</v>
      </c>
      <c r="H324" s="34">
        <v>925</v>
      </c>
      <c r="I324" s="34">
        <v>878</v>
      </c>
      <c r="J324" s="34">
        <v>828</v>
      </c>
      <c r="K324" s="34">
        <v>789</v>
      </c>
      <c r="L324" s="34">
        <v>727</v>
      </c>
      <c r="M324" s="34">
        <v>661</v>
      </c>
      <c r="N324" s="34">
        <v>608</v>
      </c>
      <c r="O324" s="34">
        <v>587</v>
      </c>
      <c r="P324" s="34">
        <v>556</v>
      </c>
      <c r="Q324" s="40">
        <v>524</v>
      </c>
      <c r="R324" s="40">
        <v>459</v>
      </c>
      <c r="S324" s="34">
        <v>400</v>
      </c>
      <c r="T324" s="40">
        <v>327</v>
      </c>
      <c r="U324" s="40">
        <v>180</v>
      </c>
      <c r="V324" s="40">
        <v>142</v>
      </c>
      <c r="W324" s="40">
        <v>70</v>
      </c>
      <c r="X324" s="34">
        <v>50</v>
      </c>
      <c r="Y324" s="41">
        <v>0</v>
      </c>
    </row>
    <row r="325" spans="1:25" x14ac:dyDescent="0.25">
      <c r="A325" s="31">
        <v>21</v>
      </c>
      <c r="B325" s="32">
        <v>750</v>
      </c>
      <c r="C325" s="34">
        <v>1643</v>
      </c>
      <c r="D325" s="34">
        <v>1411</v>
      </c>
      <c r="E325" s="34">
        <v>1153</v>
      </c>
      <c r="F325" s="34">
        <v>1045</v>
      </c>
      <c r="G325" s="34">
        <v>1007</v>
      </c>
      <c r="H325" s="34">
        <v>949</v>
      </c>
      <c r="I325" s="34">
        <v>900</v>
      </c>
      <c r="J325" s="34">
        <v>799</v>
      </c>
      <c r="K325" s="34">
        <v>712</v>
      </c>
      <c r="L325" s="34">
        <v>652</v>
      </c>
      <c r="M325" s="34">
        <v>616</v>
      </c>
      <c r="N325" s="34">
        <v>553</v>
      </c>
      <c r="O325" s="34">
        <v>530</v>
      </c>
      <c r="P325" s="34">
        <v>515</v>
      </c>
      <c r="Q325" s="40">
        <v>479</v>
      </c>
      <c r="R325" s="40">
        <v>418</v>
      </c>
      <c r="S325" s="40">
        <v>324</v>
      </c>
      <c r="T325" s="40">
        <v>236</v>
      </c>
      <c r="U325" s="40">
        <v>115</v>
      </c>
      <c r="V325" s="40">
        <v>97</v>
      </c>
      <c r="W325" s="40">
        <v>57</v>
      </c>
      <c r="X325" s="34">
        <v>33</v>
      </c>
      <c r="Y325" s="41">
        <v>0</v>
      </c>
    </row>
    <row r="326" spans="1:25" x14ac:dyDescent="0.25">
      <c r="A326" s="31">
        <v>21</v>
      </c>
      <c r="B326" s="32">
        <v>1000</v>
      </c>
      <c r="C326" s="34">
        <v>1787</v>
      </c>
      <c r="D326" s="34">
        <v>1566</v>
      </c>
      <c r="E326" s="34">
        <v>1328</v>
      </c>
      <c r="F326" s="34">
        <v>1211</v>
      </c>
      <c r="G326" s="34">
        <v>1130</v>
      </c>
      <c r="H326" s="34">
        <v>1045</v>
      </c>
      <c r="I326" s="34">
        <v>992</v>
      </c>
      <c r="J326" s="34">
        <v>908</v>
      </c>
      <c r="K326" s="34">
        <v>807</v>
      </c>
      <c r="L326" s="34">
        <v>765</v>
      </c>
      <c r="M326" s="34">
        <v>708</v>
      </c>
      <c r="N326" s="34">
        <v>628</v>
      </c>
      <c r="O326" s="40">
        <v>583</v>
      </c>
      <c r="P326" s="40">
        <v>533</v>
      </c>
      <c r="Q326" s="40">
        <v>470</v>
      </c>
      <c r="R326" s="40">
        <v>375</v>
      </c>
      <c r="S326" s="40">
        <v>280</v>
      </c>
      <c r="T326" s="40">
        <v>209</v>
      </c>
      <c r="U326" s="40">
        <v>111</v>
      </c>
      <c r="V326" s="34">
        <v>69</v>
      </c>
      <c r="W326" s="34">
        <v>42</v>
      </c>
      <c r="X326" s="34">
        <v>21</v>
      </c>
      <c r="Y326" s="41">
        <v>0</v>
      </c>
    </row>
    <row r="327" spans="1:25" x14ac:dyDescent="0.25">
      <c r="A327" s="31">
        <v>21</v>
      </c>
      <c r="B327" s="32">
        <v>1500</v>
      </c>
      <c r="C327" s="34">
        <v>2261</v>
      </c>
      <c r="D327" s="34">
        <v>1991</v>
      </c>
      <c r="E327" s="34">
        <v>1764</v>
      </c>
      <c r="F327" s="34">
        <v>1570</v>
      </c>
      <c r="G327" s="34">
        <v>1422</v>
      </c>
      <c r="H327" s="34">
        <v>1344</v>
      </c>
      <c r="I327" s="34">
        <v>1225</v>
      </c>
      <c r="J327" s="34">
        <v>1115</v>
      </c>
      <c r="K327" s="34">
        <v>998</v>
      </c>
      <c r="L327" s="34">
        <v>943</v>
      </c>
      <c r="M327" s="34">
        <v>894</v>
      </c>
      <c r="N327" s="40">
        <v>800</v>
      </c>
      <c r="O327" s="40">
        <v>758</v>
      </c>
      <c r="P327" s="40">
        <v>675</v>
      </c>
      <c r="Q327" s="40">
        <v>545</v>
      </c>
      <c r="R327" s="40">
        <v>404</v>
      </c>
      <c r="S327" s="40">
        <v>251</v>
      </c>
      <c r="T327" s="40">
        <v>209</v>
      </c>
      <c r="U327" s="40">
        <v>117</v>
      </c>
      <c r="V327" s="34">
        <v>71</v>
      </c>
      <c r="W327" s="34">
        <v>36</v>
      </c>
      <c r="X327" s="34">
        <v>17</v>
      </c>
      <c r="Y327" s="41">
        <v>0</v>
      </c>
    </row>
    <row r="328" spans="1:25" x14ac:dyDescent="0.25">
      <c r="A328" s="31">
        <v>21</v>
      </c>
      <c r="B328" s="32">
        <v>2000</v>
      </c>
      <c r="C328" s="34">
        <v>2689</v>
      </c>
      <c r="D328" s="34">
        <v>2248</v>
      </c>
      <c r="E328" s="34">
        <v>1983</v>
      </c>
      <c r="F328" s="34">
        <v>1711</v>
      </c>
      <c r="G328" s="34">
        <v>1594</v>
      </c>
      <c r="H328" s="34">
        <v>1490</v>
      </c>
      <c r="I328" s="34">
        <v>1395</v>
      </c>
      <c r="J328" s="40">
        <v>1327</v>
      </c>
      <c r="K328" s="40">
        <v>1225</v>
      </c>
      <c r="L328" s="40">
        <v>1193</v>
      </c>
      <c r="M328" s="40">
        <v>1101</v>
      </c>
      <c r="N328" s="40">
        <v>971</v>
      </c>
      <c r="O328" s="40">
        <v>874</v>
      </c>
      <c r="P328" s="40">
        <v>812</v>
      </c>
      <c r="Q328" s="40">
        <v>741</v>
      </c>
      <c r="R328" s="40">
        <v>526</v>
      </c>
      <c r="S328" s="40">
        <v>343</v>
      </c>
      <c r="T328" s="40">
        <v>230</v>
      </c>
      <c r="U328" s="40">
        <v>150</v>
      </c>
      <c r="V328" s="34">
        <v>88</v>
      </c>
      <c r="W328" s="34">
        <v>35</v>
      </c>
      <c r="X328" s="34">
        <v>15</v>
      </c>
      <c r="Y328" s="41">
        <v>0</v>
      </c>
    </row>
    <row r="329" spans="1:25" x14ac:dyDescent="0.25">
      <c r="A329" s="31">
        <v>21</v>
      </c>
      <c r="B329" s="32">
        <v>2500</v>
      </c>
      <c r="C329" s="34">
        <v>2997</v>
      </c>
      <c r="D329" s="34">
        <v>2554</v>
      </c>
      <c r="E329" s="34">
        <v>2223</v>
      </c>
      <c r="F329" s="34">
        <v>1903</v>
      </c>
      <c r="G329" s="34">
        <v>1733</v>
      </c>
      <c r="H329" s="34">
        <v>1609</v>
      </c>
      <c r="I329" s="34">
        <v>1519</v>
      </c>
      <c r="J329" s="40">
        <v>1426</v>
      </c>
      <c r="K329" s="40">
        <v>1314</v>
      </c>
      <c r="L329" s="40">
        <v>1260</v>
      </c>
      <c r="M329" s="40">
        <v>1183</v>
      </c>
      <c r="N329" s="40">
        <v>1109</v>
      </c>
      <c r="O329" s="40">
        <v>988</v>
      </c>
      <c r="P329" s="40">
        <v>900</v>
      </c>
      <c r="Q329" s="40">
        <v>816</v>
      </c>
      <c r="R329" s="40">
        <v>623</v>
      </c>
      <c r="S329" s="40">
        <v>445</v>
      </c>
      <c r="T329" s="40">
        <v>349</v>
      </c>
      <c r="U329" s="34">
        <v>214</v>
      </c>
      <c r="V329" s="34">
        <v>102</v>
      </c>
      <c r="W329" s="34">
        <v>36</v>
      </c>
      <c r="X329" s="34">
        <v>15</v>
      </c>
      <c r="Y329" s="41">
        <v>0</v>
      </c>
    </row>
    <row r="330" spans="1:25" x14ac:dyDescent="0.25">
      <c r="A330" s="31">
        <v>21</v>
      </c>
      <c r="B330" s="32">
        <v>3000</v>
      </c>
      <c r="C330" s="34">
        <v>3238</v>
      </c>
      <c r="D330" s="34">
        <v>2847</v>
      </c>
      <c r="E330" s="34">
        <v>2465</v>
      </c>
      <c r="F330" s="34">
        <v>2068</v>
      </c>
      <c r="G330" s="34">
        <v>1880</v>
      </c>
      <c r="H330" s="40">
        <v>1706</v>
      </c>
      <c r="I330" s="40">
        <v>1644</v>
      </c>
      <c r="J330" s="34">
        <v>1547</v>
      </c>
      <c r="K330" s="34">
        <v>1457</v>
      </c>
      <c r="L330" s="40">
        <v>1302</v>
      </c>
      <c r="M330" s="40">
        <v>1193</v>
      </c>
      <c r="N330" s="40">
        <v>1170</v>
      </c>
      <c r="O330" s="40">
        <v>1053</v>
      </c>
      <c r="P330" s="40">
        <v>958</v>
      </c>
      <c r="Q330" s="40">
        <v>884</v>
      </c>
      <c r="R330" s="40">
        <v>681</v>
      </c>
      <c r="S330" s="40">
        <v>535</v>
      </c>
      <c r="T330" s="40">
        <v>425</v>
      </c>
      <c r="U330" s="40">
        <v>286</v>
      </c>
      <c r="V330" s="34">
        <v>119</v>
      </c>
      <c r="W330" s="34">
        <v>39</v>
      </c>
      <c r="X330" s="34">
        <v>15</v>
      </c>
      <c r="Y330" s="41">
        <v>0</v>
      </c>
    </row>
    <row r="331" spans="1:25" x14ac:dyDescent="0.25">
      <c r="A331" s="31">
        <v>21</v>
      </c>
      <c r="B331" s="32">
        <v>3500</v>
      </c>
      <c r="C331" s="34">
        <v>3393</v>
      </c>
      <c r="D331" s="34">
        <v>2953</v>
      </c>
      <c r="E331" s="34">
        <v>2590</v>
      </c>
      <c r="F331" s="34">
        <v>2193</v>
      </c>
      <c r="G331" s="34">
        <v>2012</v>
      </c>
      <c r="H331" s="40">
        <v>1859</v>
      </c>
      <c r="I331" s="40">
        <v>1772</v>
      </c>
      <c r="J331" s="34">
        <v>1672</v>
      </c>
      <c r="K331" s="34">
        <v>1543</v>
      </c>
      <c r="L331" s="40">
        <v>1397</v>
      </c>
      <c r="M331" s="40">
        <v>1284</v>
      </c>
      <c r="N331" s="40">
        <v>1215</v>
      </c>
      <c r="O331" s="40">
        <v>1130</v>
      </c>
      <c r="P331" s="40">
        <v>993</v>
      </c>
      <c r="Q331" s="40">
        <v>933</v>
      </c>
      <c r="R331" s="40">
        <v>773</v>
      </c>
      <c r="S331" s="34">
        <v>601</v>
      </c>
      <c r="T331" s="40">
        <v>516</v>
      </c>
      <c r="U331" s="40">
        <v>343</v>
      </c>
      <c r="V331" s="34">
        <v>138</v>
      </c>
      <c r="W331" s="34">
        <v>42</v>
      </c>
      <c r="X331" s="34">
        <v>16</v>
      </c>
      <c r="Y331" s="41">
        <v>0</v>
      </c>
    </row>
    <row r="332" spans="1:25" x14ac:dyDescent="0.25">
      <c r="A332" s="31">
        <v>21</v>
      </c>
      <c r="B332" s="32">
        <v>4000</v>
      </c>
      <c r="C332" s="34">
        <v>3482</v>
      </c>
      <c r="D332" s="34">
        <v>3160</v>
      </c>
      <c r="E332" s="34">
        <v>2776</v>
      </c>
      <c r="F332" s="34">
        <v>2356</v>
      </c>
      <c r="G332" s="40">
        <v>2159</v>
      </c>
      <c r="H332" s="40">
        <v>2004</v>
      </c>
      <c r="I332" s="34">
        <v>1924</v>
      </c>
      <c r="J332" s="34">
        <v>1794</v>
      </c>
      <c r="K332" s="40">
        <v>1654</v>
      </c>
      <c r="L332" s="40">
        <v>1541</v>
      </c>
      <c r="M332" s="40">
        <v>1428</v>
      </c>
      <c r="N332" s="40">
        <v>1347</v>
      </c>
      <c r="O332" s="34">
        <v>1256</v>
      </c>
      <c r="P332" s="40">
        <v>1155</v>
      </c>
      <c r="Q332" s="40">
        <v>1027</v>
      </c>
      <c r="R332" s="40">
        <v>891</v>
      </c>
      <c r="S332" s="40">
        <v>726</v>
      </c>
      <c r="T332" s="34">
        <v>627</v>
      </c>
      <c r="U332" s="34">
        <v>389</v>
      </c>
      <c r="V332" s="34">
        <v>155</v>
      </c>
      <c r="W332" s="34">
        <v>45</v>
      </c>
      <c r="X332" s="34">
        <v>17</v>
      </c>
      <c r="Y332" s="41">
        <v>0</v>
      </c>
    </row>
    <row r="333" spans="1:25" x14ac:dyDescent="0.25">
      <c r="A333" s="31">
        <v>21</v>
      </c>
      <c r="B333" s="32">
        <v>4500</v>
      </c>
      <c r="C333" s="34">
        <v>3532</v>
      </c>
      <c r="D333" s="34">
        <v>3270</v>
      </c>
      <c r="E333" s="34">
        <v>2896</v>
      </c>
      <c r="F333" s="34">
        <v>2517</v>
      </c>
      <c r="G333" s="40">
        <v>2289</v>
      </c>
      <c r="H333" s="40">
        <v>2142</v>
      </c>
      <c r="I333" s="34">
        <v>2028</v>
      </c>
      <c r="J333" s="34">
        <v>1906</v>
      </c>
      <c r="K333" s="40">
        <v>1752</v>
      </c>
      <c r="L333" s="40">
        <v>1624</v>
      </c>
      <c r="M333" s="40">
        <v>1544</v>
      </c>
      <c r="N333" s="40">
        <v>1500</v>
      </c>
      <c r="O333" s="40">
        <v>1348</v>
      </c>
      <c r="P333" s="40">
        <v>1274</v>
      </c>
      <c r="Q333" s="40">
        <v>1100</v>
      </c>
      <c r="R333" s="40">
        <v>973</v>
      </c>
      <c r="S333" s="40">
        <v>809</v>
      </c>
      <c r="T333" s="40">
        <v>674</v>
      </c>
      <c r="U333" s="34">
        <v>421</v>
      </c>
      <c r="V333" s="34">
        <v>167</v>
      </c>
      <c r="W333" s="34">
        <v>49</v>
      </c>
      <c r="X333" s="34">
        <v>18</v>
      </c>
      <c r="Y333" s="41">
        <v>0</v>
      </c>
    </row>
    <row r="334" spans="1:25" x14ac:dyDescent="0.25">
      <c r="A334" s="31">
        <v>21</v>
      </c>
      <c r="B334" s="32">
        <v>5000</v>
      </c>
      <c r="C334" s="34">
        <v>3660</v>
      </c>
      <c r="D334" s="34">
        <v>3436</v>
      </c>
      <c r="E334" s="34">
        <v>3101</v>
      </c>
      <c r="F334" s="40">
        <v>2646</v>
      </c>
      <c r="G334" s="40">
        <v>2456</v>
      </c>
      <c r="H334" s="34">
        <v>2256</v>
      </c>
      <c r="I334" s="34">
        <v>2172</v>
      </c>
      <c r="J334" s="34">
        <v>2016</v>
      </c>
      <c r="K334" s="40">
        <v>1834</v>
      </c>
      <c r="L334" s="40">
        <v>1742</v>
      </c>
      <c r="M334" s="34">
        <v>1660</v>
      </c>
      <c r="N334" s="40">
        <v>1596</v>
      </c>
      <c r="O334" s="40">
        <v>1457</v>
      </c>
      <c r="P334" s="40">
        <v>1350</v>
      </c>
      <c r="Q334" s="34">
        <v>1160</v>
      </c>
      <c r="R334" s="40">
        <v>1063</v>
      </c>
      <c r="S334" s="40">
        <v>818</v>
      </c>
      <c r="T334" s="40">
        <v>711</v>
      </c>
      <c r="U334" s="34">
        <v>451</v>
      </c>
      <c r="V334" s="34">
        <v>181</v>
      </c>
      <c r="W334" s="34">
        <v>54</v>
      </c>
      <c r="X334" s="34">
        <v>21</v>
      </c>
      <c r="Y334" s="41">
        <v>0</v>
      </c>
    </row>
    <row r="335" spans="1:25" x14ac:dyDescent="0.25">
      <c r="A335" s="31">
        <v>21</v>
      </c>
      <c r="B335" s="32">
        <v>5500</v>
      </c>
      <c r="C335" s="34">
        <v>3803</v>
      </c>
      <c r="D335" s="34">
        <v>3603</v>
      </c>
      <c r="E335" s="34">
        <v>3229</v>
      </c>
      <c r="F335" s="40">
        <v>2831</v>
      </c>
      <c r="G335" s="40">
        <v>2608</v>
      </c>
      <c r="H335" s="34">
        <v>2447</v>
      </c>
      <c r="I335" s="34">
        <v>2288</v>
      </c>
      <c r="J335" s="34">
        <v>2165</v>
      </c>
      <c r="K335" s="40">
        <v>1973</v>
      </c>
      <c r="L335" s="40">
        <v>1880</v>
      </c>
      <c r="M335" s="34">
        <v>1808</v>
      </c>
      <c r="N335" s="34">
        <v>1726</v>
      </c>
      <c r="O335" s="40">
        <v>1603</v>
      </c>
      <c r="P335" s="40">
        <v>1482</v>
      </c>
      <c r="Q335" s="34">
        <v>1300</v>
      </c>
      <c r="R335" s="34">
        <v>1184</v>
      </c>
      <c r="S335" s="34">
        <v>939</v>
      </c>
      <c r="T335" s="34">
        <v>793</v>
      </c>
      <c r="U335" s="34">
        <v>492</v>
      </c>
      <c r="V335" s="34">
        <v>199</v>
      </c>
      <c r="W335" s="34">
        <v>61</v>
      </c>
      <c r="X335" s="34">
        <v>24</v>
      </c>
      <c r="Y335" s="41">
        <v>0</v>
      </c>
    </row>
    <row r="336" spans="1:25" x14ac:dyDescent="0.25">
      <c r="A336" s="31">
        <v>21</v>
      </c>
      <c r="B336" s="32">
        <v>6000</v>
      </c>
      <c r="C336" s="34">
        <v>3955</v>
      </c>
      <c r="D336" s="34">
        <v>3698</v>
      </c>
      <c r="E336" s="34">
        <v>3320</v>
      </c>
      <c r="F336" s="34">
        <v>2917</v>
      </c>
      <c r="G336" s="34">
        <v>2733</v>
      </c>
      <c r="H336" s="34">
        <v>2544</v>
      </c>
      <c r="I336" s="34">
        <v>2379</v>
      </c>
      <c r="J336" s="40">
        <v>2256</v>
      </c>
      <c r="K336" s="40">
        <v>2073</v>
      </c>
      <c r="L336" s="40">
        <v>1965</v>
      </c>
      <c r="M336" s="34">
        <v>1884</v>
      </c>
      <c r="N336" s="34">
        <v>1823</v>
      </c>
      <c r="O336" s="34">
        <v>1695</v>
      </c>
      <c r="P336" s="34">
        <v>1572</v>
      </c>
      <c r="Q336" s="34">
        <v>1379</v>
      </c>
      <c r="R336" s="34">
        <v>1277</v>
      </c>
      <c r="S336" s="34">
        <v>1038</v>
      </c>
      <c r="T336" s="34">
        <v>867</v>
      </c>
      <c r="U336" s="34">
        <v>544</v>
      </c>
      <c r="V336" s="34">
        <v>221</v>
      </c>
      <c r="W336" s="34">
        <v>70</v>
      </c>
      <c r="X336" s="34">
        <v>28</v>
      </c>
      <c r="Y336" s="41">
        <v>0</v>
      </c>
    </row>
    <row r="337" spans="1:25" x14ac:dyDescent="0.25">
      <c r="A337" s="31">
        <v>21</v>
      </c>
      <c r="B337" s="32">
        <v>6500</v>
      </c>
      <c r="C337" s="34">
        <v>4116</v>
      </c>
      <c r="D337" s="34">
        <v>3784</v>
      </c>
      <c r="E337" s="34">
        <v>3378</v>
      </c>
      <c r="F337" s="34">
        <v>2975</v>
      </c>
      <c r="G337" s="34">
        <v>2801</v>
      </c>
      <c r="H337" s="34">
        <v>2599</v>
      </c>
      <c r="I337" s="34">
        <v>2485</v>
      </c>
      <c r="J337" s="40">
        <v>2355</v>
      </c>
      <c r="K337" s="40">
        <v>2203</v>
      </c>
      <c r="L337" s="40">
        <v>2056</v>
      </c>
      <c r="M337" s="34">
        <v>1990</v>
      </c>
      <c r="N337" s="34">
        <v>1903</v>
      </c>
      <c r="O337" s="34">
        <v>1780</v>
      </c>
      <c r="P337" s="34">
        <v>1652</v>
      </c>
      <c r="Q337" s="34">
        <v>1478</v>
      </c>
      <c r="R337" s="34">
        <v>1334</v>
      </c>
      <c r="S337" s="34">
        <v>1100</v>
      </c>
      <c r="T337" s="34">
        <v>924</v>
      </c>
      <c r="U337" s="34">
        <v>579</v>
      </c>
      <c r="V337" s="34">
        <v>239</v>
      </c>
      <c r="W337" s="34">
        <v>78</v>
      </c>
      <c r="X337" s="34">
        <v>32</v>
      </c>
      <c r="Y337" s="41">
        <v>0</v>
      </c>
    </row>
    <row r="338" spans="1:25" x14ac:dyDescent="0.25">
      <c r="A338" s="31">
        <v>21</v>
      </c>
      <c r="B338" s="32">
        <v>7000</v>
      </c>
      <c r="C338" s="34">
        <v>4275</v>
      </c>
      <c r="D338" s="34">
        <v>3839</v>
      </c>
      <c r="E338" s="34">
        <v>3393</v>
      </c>
      <c r="F338" s="34">
        <v>2985</v>
      </c>
      <c r="G338" s="34">
        <v>2850</v>
      </c>
      <c r="H338" s="34">
        <v>2658</v>
      </c>
      <c r="I338" s="34">
        <v>2529</v>
      </c>
      <c r="J338" s="34">
        <v>2447</v>
      </c>
      <c r="K338" s="34">
        <v>2294</v>
      </c>
      <c r="L338" s="34">
        <v>2117</v>
      </c>
      <c r="M338" s="34">
        <v>2050</v>
      </c>
      <c r="N338" s="34">
        <v>1971</v>
      </c>
      <c r="O338" s="34">
        <v>1835</v>
      </c>
      <c r="P338" s="34">
        <v>1693</v>
      </c>
      <c r="Q338" s="34">
        <v>1523</v>
      </c>
      <c r="R338" s="34">
        <v>1373</v>
      </c>
      <c r="S338" s="34">
        <v>1163</v>
      </c>
      <c r="T338" s="34">
        <v>969</v>
      </c>
      <c r="U338" s="34">
        <v>601</v>
      </c>
      <c r="V338" s="34">
        <v>254</v>
      </c>
      <c r="W338" s="34">
        <v>85</v>
      </c>
      <c r="X338" s="34">
        <v>35</v>
      </c>
      <c r="Y338" s="41">
        <v>0</v>
      </c>
    </row>
    <row r="339" spans="1:25" x14ac:dyDescent="0.25">
      <c r="A339" s="31">
        <v>21</v>
      </c>
      <c r="B339" s="32">
        <v>7500</v>
      </c>
      <c r="C339" s="34">
        <v>4471</v>
      </c>
      <c r="D339" s="34">
        <v>3887</v>
      </c>
      <c r="E339" s="34">
        <v>3394</v>
      </c>
      <c r="F339" s="34">
        <v>3000</v>
      </c>
      <c r="G339" s="34">
        <v>2880</v>
      </c>
      <c r="H339" s="34">
        <v>2700</v>
      </c>
      <c r="I339" s="34">
        <v>2589</v>
      </c>
      <c r="J339" s="34">
        <v>2496</v>
      </c>
      <c r="K339" s="34">
        <v>2361</v>
      </c>
      <c r="L339" s="34">
        <v>2216</v>
      </c>
      <c r="M339" s="34">
        <v>2129</v>
      </c>
      <c r="N339" s="34">
        <v>2033</v>
      </c>
      <c r="O339" s="34">
        <v>1872</v>
      </c>
      <c r="P339" s="34">
        <v>1737</v>
      </c>
      <c r="Q339" s="34">
        <v>1566</v>
      </c>
      <c r="R339" s="34">
        <v>1403</v>
      </c>
      <c r="S339" s="34">
        <v>1214</v>
      </c>
      <c r="T339" s="34">
        <v>1003</v>
      </c>
      <c r="U339" s="34">
        <v>640</v>
      </c>
      <c r="V339" s="34">
        <v>272</v>
      </c>
      <c r="W339" s="34">
        <v>91</v>
      </c>
      <c r="X339" s="34">
        <v>39</v>
      </c>
      <c r="Y339" s="41">
        <v>0</v>
      </c>
    </row>
    <row r="340" spans="1:25" x14ac:dyDescent="0.25">
      <c r="A340" s="31">
        <v>21</v>
      </c>
      <c r="B340" s="32">
        <v>8000</v>
      </c>
      <c r="C340" s="34">
        <v>4689</v>
      </c>
      <c r="D340" s="34">
        <v>3970</v>
      </c>
      <c r="E340" s="34">
        <v>3405</v>
      </c>
      <c r="F340" s="34">
        <v>3030</v>
      </c>
      <c r="G340" s="34">
        <v>2900</v>
      </c>
      <c r="H340" s="34">
        <v>2740</v>
      </c>
      <c r="I340" s="34">
        <v>2598</v>
      </c>
      <c r="J340" s="34">
        <v>2498</v>
      </c>
      <c r="K340" s="34">
        <v>2410</v>
      </c>
      <c r="L340" s="34">
        <v>2287</v>
      </c>
      <c r="M340" s="34">
        <v>2170</v>
      </c>
      <c r="N340" s="34">
        <v>2067</v>
      </c>
      <c r="O340" s="34">
        <v>1902</v>
      </c>
      <c r="P340" s="34">
        <v>1790</v>
      </c>
      <c r="Q340" s="34">
        <v>1622</v>
      </c>
      <c r="R340" s="34">
        <v>1439</v>
      </c>
      <c r="S340" s="34">
        <v>1260</v>
      </c>
      <c r="T340" s="34">
        <v>1026</v>
      </c>
      <c r="U340" s="34">
        <v>667</v>
      </c>
      <c r="V340" s="34">
        <v>290</v>
      </c>
      <c r="W340" s="34">
        <v>96</v>
      </c>
      <c r="X340" s="34">
        <v>42</v>
      </c>
      <c r="Y340" s="41">
        <v>0</v>
      </c>
    </row>
  </sheetData>
  <sheetProtection selectLockedCells="1"/>
  <mergeCells count="10">
    <mergeCell ref="C9:Y10"/>
    <mergeCell ref="A1:Y1"/>
    <mergeCell ref="B6:M6"/>
    <mergeCell ref="B5:M5"/>
    <mergeCell ref="B4:M4"/>
    <mergeCell ref="B7:M7"/>
    <mergeCell ref="A3:M3"/>
    <mergeCell ref="H2:Q2"/>
    <mergeCell ref="S2:T8"/>
    <mergeCell ref="W2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133350</xdr:colOff>
                <xdr:row>1</xdr:row>
                <xdr:rowOff>95250</xdr:rowOff>
              </from>
              <to>
                <xdr:col>17</xdr:col>
                <xdr:colOff>438150</xdr:colOff>
                <xdr:row>2</xdr:row>
                <xdr:rowOff>190500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:AG28"/>
  <sheetViews>
    <sheetView topLeftCell="E1" zoomScale="85" zoomScaleNormal="85" workbookViewId="0">
      <selection activeCell="AG11" sqref="AG11"/>
    </sheetView>
  </sheetViews>
  <sheetFormatPr defaultRowHeight="15" x14ac:dyDescent="0.25"/>
  <cols>
    <col min="15" max="16" width="12.5703125" customWidth="1"/>
    <col min="26" max="26" width="10.85546875" bestFit="1" customWidth="1"/>
  </cols>
  <sheetData>
    <row r="1" spans="7:33" ht="26.25" x14ac:dyDescent="0.25">
      <c r="G1" s="78" t="s">
        <v>12</v>
      </c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</row>
    <row r="2" spans="7:33" ht="18.75" x14ac:dyDescent="0.25">
      <c r="G2" s="82" t="s">
        <v>25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</row>
    <row r="4" spans="7:33" ht="36.75" customHeight="1" x14ac:dyDescent="0.25"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01" t="s">
        <v>33</v>
      </c>
      <c r="U4" s="101"/>
      <c r="V4" s="101"/>
      <c r="Y4" s="96" t="s">
        <v>44</v>
      </c>
      <c r="Z4" s="96"/>
      <c r="AA4" s="96"/>
      <c r="AB4" s="96"/>
      <c r="AC4" s="96"/>
      <c r="AD4" s="96"/>
      <c r="AE4" s="96"/>
      <c r="AF4" s="96"/>
    </row>
    <row r="5" spans="7:33" ht="18" customHeight="1" x14ac:dyDescent="0.35">
      <c r="G5" s="15"/>
      <c r="H5" s="46"/>
      <c r="I5" s="46"/>
      <c r="J5" s="46"/>
      <c r="K5" s="46"/>
      <c r="L5" s="46"/>
      <c r="M5" s="46"/>
      <c r="N5" s="46"/>
      <c r="O5" s="15"/>
      <c r="P5" s="15"/>
      <c r="Q5" s="15"/>
      <c r="R5" s="15"/>
      <c r="S5" s="15"/>
      <c r="T5" s="71" t="s">
        <v>26</v>
      </c>
      <c r="U5" s="102">
        <f>IF(AND(2&lt;=(Dhyd*1000),(Dhyd*1000)&lt;=25),SQRT(0.008/Dhyd),IF((Dhyd*1000)&gt;25,0.57,1))</f>
        <v>1.2401679695384664</v>
      </c>
      <c r="V5" s="103"/>
      <c r="Y5" s="57" t="s">
        <v>59</v>
      </c>
      <c r="Z5" s="58">
        <v>5.2015043518590003E-3</v>
      </c>
      <c r="AA5" s="58" t="s">
        <v>34</v>
      </c>
      <c r="AB5" s="94" t="s">
        <v>69</v>
      </c>
      <c r="AC5" s="94"/>
      <c r="AD5" s="94"/>
      <c r="AE5" s="94"/>
      <c r="AF5" s="95"/>
    </row>
    <row r="6" spans="7:33" ht="18" customHeight="1" x14ac:dyDescent="0.35">
      <c r="G6" s="15"/>
      <c r="H6" s="46"/>
      <c r="I6" s="46"/>
      <c r="J6" s="46"/>
      <c r="K6" s="46"/>
      <c r="L6" s="46"/>
      <c r="M6" s="46"/>
      <c r="N6" s="46"/>
      <c r="O6" s="15"/>
      <c r="P6" s="15"/>
      <c r="Q6" s="15"/>
      <c r="R6" s="15"/>
      <c r="S6" s="15"/>
      <c r="T6" s="72" t="s">
        <v>27</v>
      </c>
      <c r="U6" s="97">
        <f>IF(X&lt;0,1,MIN(1,(0.5+2*delta/d)*EXP(-X^(1/3)/2)))</f>
        <v>0.88037521664187135</v>
      </c>
      <c r="V6" s="98"/>
      <c r="Y6" s="59" t="s">
        <v>60</v>
      </c>
      <c r="Z6" s="60">
        <v>9.5352275205160004E-3</v>
      </c>
      <c r="AA6" s="60" t="s">
        <v>34</v>
      </c>
      <c r="AB6" s="89" t="s">
        <v>70</v>
      </c>
      <c r="AC6" s="89"/>
      <c r="AD6" s="89"/>
      <c r="AE6" s="89"/>
      <c r="AF6" s="90"/>
    </row>
    <row r="7" spans="7:33" ht="18" customHeight="1" x14ac:dyDescent="0.25"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72" t="s">
        <v>28</v>
      </c>
      <c r="U7" s="97">
        <f>1+(1.5*SQRT(K)*(G/1000)^0.2)*EXP(-0.1*Lsp/Dhyd)</f>
        <v>1.0001087949571379</v>
      </c>
      <c r="V7" s="98"/>
      <c r="Y7" s="59" t="s">
        <v>42</v>
      </c>
      <c r="Z7" s="60">
        <v>1.2598399999999999E-2</v>
      </c>
      <c r="AA7" s="60" t="s">
        <v>34</v>
      </c>
      <c r="AB7" s="89" t="s">
        <v>71</v>
      </c>
      <c r="AC7" s="89"/>
      <c r="AD7" s="89"/>
      <c r="AE7" s="89"/>
      <c r="AF7" s="90"/>
    </row>
    <row r="8" spans="7:33" ht="18" customHeight="1" x14ac:dyDescent="0.35"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72" t="s">
        <v>29</v>
      </c>
      <c r="U8" s="97">
        <f>IF(L/Dhyd&gt;=5,EXP(Dhyd/L*EXP(2*alpha_h)),1)</f>
        <v>1.0097891896702424</v>
      </c>
      <c r="V8" s="98"/>
      <c r="Y8" s="59" t="s">
        <v>39</v>
      </c>
      <c r="Z8" s="60">
        <v>0.5</v>
      </c>
      <c r="AA8" s="60" t="s">
        <v>34</v>
      </c>
      <c r="AB8" s="89" t="s">
        <v>84</v>
      </c>
      <c r="AC8" s="89"/>
      <c r="AD8" s="89"/>
      <c r="AE8" s="89"/>
      <c r="AF8" s="90"/>
      <c r="AG8" s="49"/>
    </row>
    <row r="9" spans="7:33" ht="18" customHeight="1" x14ac:dyDescent="0.35"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72" t="s">
        <v>30</v>
      </c>
      <c r="U9" s="97">
        <f>IF(X&lt;=0,1,q_local/q_BLA)</f>
        <v>0.5</v>
      </c>
      <c r="V9" s="98"/>
      <c r="Y9" s="59" t="s">
        <v>61</v>
      </c>
      <c r="Z9" s="60">
        <v>1</v>
      </c>
      <c r="AA9" s="60" t="s">
        <v>51</v>
      </c>
      <c r="AB9" s="89" t="s">
        <v>58</v>
      </c>
      <c r="AC9" s="89"/>
      <c r="AD9" s="89"/>
      <c r="AE9" s="89"/>
      <c r="AF9" s="90"/>
    </row>
    <row r="10" spans="7:33" ht="18" customHeight="1" x14ac:dyDescent="0.35"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72" t="s">
        <v>31</v>
      </c>
      <c r="U10" s="97">
        <f>IF(X&gt;0,qz_avg/qz_max,1)</f>
        <v>1</v>
      </c>
      <c r="V10" s="98"/>
      <c r="W10" s="54"/>
      <c r="X10" s="54"/>
      <c r="Y10" s="61" t="s">
        <v>62</v>
      </c>
      <c r="Z10" s="60">
        <v>2.0075008464600002</v>
      </c>
      <c r="AA10" s="62" t="s">
        <v>34</v>
      </c>
      <c r="AB10" s="89" t="s">
        <v>43</v>
      </c>
      <c r="AC10" s="89"/>
      <c r="AD10" s="89"/>
      <c r="AE10" s="89"/>
      <c r="AF10" s="90"/>
    </row>
    <row r="11" spans="7:33" ht="18" customHeight="1" x14ac:dyDescent="0.35"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72" t="s">
        <v>32</v>
      </c>
      <c r="U11" s="97">
        <f>1-EXP(-SQRT(T_1/3))</f>
        <v>0.99714971889038684</v>
      </c>
      <c r="V11" s="98"/>
      <c r="Y11" s="59" t="s">
        <v>63</v>
      </c>
      <c r="Z11" s="60">
        <v>683.6</v>
      </c>
      <c r="AA11" s="60" t="s">
        <v>52</v>
      </c>
      <c r="AB11" s="89" t="s">
        <v>53</v>
      </c>
      <c r="AC11" s="89"/>
      <c r="AD11" s="89"/>
      <c r="AE11" s="89"/>
      <c r="AF11" s="90"/>
    </row>
    <row r="12" spans="7:33" ht="18" customHeight="1" x14ac:dyDescent="0.35"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47"/>
      <c r="R12" s="15"/>
      <c r="S12" s="15"/>
      <c r="T12" s="73" t="s">
        <v>82</v>
      </c>
      <c r="U12" s="99">
        <f>IF(OR(G&lt;(-400),X&lt;(-0.5)),1,IF(AND(G&gt;(-400),G&lt;0),(1-alpha_h)*C_1,1))</f>
        <v>1</v>
      </c>
      <c r="V12" s="100"/>
      <c r="Y12" s="59" t="s">
        <v>64</v>
      </c>
      <c r="Z12" s="60">
        <v>57.54</v>
      </c>
      <c r="AA12" s="60" t="s">
        <v>52</v>
      </c>
      <c r="AB12" s="89" t="s">
        <v>54</v>
      </c>
      <c r="AC12" s="89"/>
      <c r="AD12" s="89"/>
      <c r="AE12" s="89"/>
      <c r="AF12" s="90"/>
    </row>
    <row r="13" spans="7:33" ht="18" customHeight="1" x14ac:dyDescent="0.35"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56"/>
      <c r="U13" s="56"/>
      <c r="V13" s="56"/>
      <c r="Y13" s="59" t="s">
        <v>65</v>
      </c>
      <c r="Z13" s="60">
        <v>500</v>
      </c>
      <c r="AA13" s="60" t="s">
        <v>17</v>
      </c>
      <c r="AB13" s="89" t="s">
        <v>72</v>
      </c>
      <c r="AC13" s="89"/>
      <c r="AD13" s="89"/>
      <c r="AE13" s="89"/>
      <c r="AF13" s="90"/>
    </row>
    <row r="14" spans="7:33" ht="18" customHeight="1" x14ac:dyDescent="0.35"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56"/>
      <c r="U14" s="56"/>
      <c r="V14" s="56"/>
      <c r="W14" s="54"/>
      <c r="X14" s="54"/>
      <c r="Y14" s="59" t="s">
        <v>66</v>
      </c>
      <c r="Z14" s="60">
        <v>1000</v>
      </c>
      <c r="AA14" s="60" t="s">
        <v>17</v>
      </c>
      <c r="AB14" s="89" t="s">
        <v>73</v>
      </c>
      <c r="AC14" s="89"/>
      <c r="AD14" s="89"/>
      <c r="AE14" s="89"/>
      <c r="AF14" s="90"/>
    </row>
    <row r="15" spans="7:33" ht="18" customHeight="1" x14ac:dyDescent="0.35"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W15" s="55"/>
      <c r="X15" s="55"/>
      <c r="Y15" s="63" t="s">
        <v>67</v>
      </c>
      <c r="Z15" s="60">
        <v>1</v>
      </c>
      <c r="AA15" s="60" t="s">
        <v>17</v>
      </c>
      <c r="AB15" s="89" t="s">
        <v>74</v>
      </c>
      <c r="AC15" s="89"/>
      <c r="AD15" s="89"/>
      <c r="AE15" s="89"/>
      <c r="AF15" s="90"/>
    </row>
    <row r="16" spans="7:33" ht="18" customHeight="1" x14ac:dyDescent="0.35"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W16" s="54"/>
      <c r="X16" s="54"/>
      <c r="Y16" s="63" t="s">
        <v>68</v>
      </c>
      <c r="Z16" s="60">
        <v>1</v>
      </c>
      <c r="AA16" s="60" t="s">
        <v>17</v>
      </c>
      <c r="AB16" s="89" t="s">
        <v>75</v>
      </c>
      <c r="AC16" s="89"/>
      <c r="AD16" s="89"/>
      <c r="AE16" s="89"/>
      <c r="AF16" s="90"/>
    </row>
    <row r="17" spans="7:32" ht="18" customHeight="1" x14ac:dyDescent="0.35">
      <c r="H17" s="15"/>
      <c r="I17" s="15"/>
      <c r="J17" s="15"/>
      <c r="K17" s="15"/>
      <c r="L17" s="15"/>
      <c r="M17" s="15"/>
      <c r="N17" s="15"/>
      <c r="O17" s="15"/>
      <c r="P17" s="15"/>
      <c r="U17" s="53"/>
      <c r="W17" s="55"/>
      <c r="X17" s="55"/>
      <c r="Y17" s="63" t="s">
        <v>41</v>
      </c>
      <c r="Z17" s="60">
        <v>1</v>
      </c>
      <c r="AA17" s="62" t="s">
        <v>51</v>
      </c>
      <c r="AB17" s="89" t="s">
        <v>76</v>
      </c>
      <c r="AC17" s="89"/>
      <c r="AD17" s="89"/>
      <c r="AE17" s="89"/>
      <c r="AF17" s="90"/>
    </row>
    <row r="18" spans="7:32" ht="18" customHeight="1" x14ac:dyDescent="0.25">
      <c r="W18" s="54"/>
      <c r="X18" s="54"/>
      <c r="Y18" s="61" t="s">
        <v>38</v>
      </c>
      <c r="Z18" s="60">
        <v>9.81</v>
      </c>
      <c r="AA18" s="60" t="s">
        <v>50</v>
      </c>
      <c r="AB18" s="89" t="s">
        <v>49</v>
      </c>
      <c r="AC18" s="89"/>
      <c r="AD18" s="89"/>
      <c r="AE18" s="89"/>
      <c r="AF18" s="90"/>
    </row>
    <row r="19" spans="7:32" ht="18" customHeight="1" x14ac:dyDescent="0.25">
      <c r="W19" s="55"/>
      <c r="X19" s="55"/>
      <c r="Y19" s="61" t="s">
        <v>36</v>
      </c>
      <c r="Z19" s="60">
        <f>'2006 LUT'!P5</f>
        <v>1500</v>
      </c>
      <c r="AA19" s="60" t="s">
        <v>16</v>
      </c>
      <c r="AB19" s="89" t="s">
        <v>79</v>
      </c>
      <c r="AC19" s="89"/>
      <c r="AD19" s="89"/>
      <c r="AE19" s="89"/>
      <c r="AF19" s="90"/>
    </row>
    <row r="20" spans="7:32" ht="18" customHeight="1" x14ac:dyDescent="0.25">
      <c r="W20" s="54"/>
      <c r="X20" s="54"/>
      <c r="Y20" s="64" t="s">
        <v>77</v>
      </c>
      <c r="Z20" s="65">
        <f>'2006 LUT'!P6</f>
        <v>0.14162015056961363</v>
      </c>
      <c r="AA20" s="66" t="s">
        <v>51</v>
      </c>
      <c r="AB20" s="13" t="s">
        <v>78</v>
      </c>
      <c r="AC20" s="13"/>
      <c r="AD20" s="13"/>
      <c r="AE20" s="13"/>
      <c r="AF20" s="67"/>
    </row>
    <row r="21" spans="7:32" ht="18" customHeight="1" x14ac:dyDescent="0.25"/>
    <row r="23" spans="7:32" ht="23.25" customHeight="1" x14ac:dyDescent="0.25">
      <c r="Y23" s="93" t="s">
        <v>45</v>
      </c>
      <c r="Z23" s="93"/>
      <c r="AA23" s="93"/>
      <c r="AB23" s="93"/>
      <c r="AC23" s="93"/>
      <c r="AD23" s="93"/>
      <c r="AE23" s="93"/>
      <c r="AF23" s="93"/>
    </row>
    <row r="24" spans="7:32" x14ac:dyDescent="0.25">
      <c r="G24" s="15"/>
      <c r="H24" s="15"/>
      <c r="I24" s="15"/>
      <c r="J24" s="15"/>
      <c r="K24" s="15"/>
      <c r="L24" s="15"/>
      <c r="M24" s="15"/>
      <c r="N24" s="15"/>
      <c r="O24" s="15"/>
      <c r="P24" s="15"/>
      <c r="Y24" s="68" t="s">
        <v>35</v>
      </c>
      <c r="Z24" s="58">
        <f>Pitch-d</f>
        <v>3.0631724794839988E-3</v>
      </c>
      <c r="AA24" s="69" t="s">
        <v>34</v>
      </c>
      <c r="AB24" s="94" t="s">
        <v>46</v>
      </c>
      <c r="AC24" s="94"/>
      <c r="AD24" s="94"/>
      <c r="AE24" s="94"/>
      <c r="AF24" s="95"/>
    </row>
    <row r="25" spans="7:32" ht="18" x14ac:dyDescent="0.35">
      <c r="G25" s="15"/>
      <c r="H25" s="15"/>
      <c r="I25" s="15"/>
      <c r="J25" s="15"/>
      <c r="K25" s="15"/>
      <c r="L25" s="15"/>
      <c r="M25" s="15"/>
      <c r="N25" s="15"/>
      <c r="O25" s="48"/>
      <c r="P25" s="48"/>
      <c r="Y25" s="59" t="s">
        <v>47</v>
      </c>
      <c r="Z25" s="60">
        <f>IF(X&lt;0,0,X*rho_f/(X*rho_f+(1-X)*rho_g))</f>
        <v>0.66217332058276157</v>
      </c>
      <c r="AA25" s="62" t="s">
        <v>51</v>
      </c>
      <c r="AB25" s="89" t="s">
        <v>55</v>
      </c>
      <c r="AC25" s="89"/>
      <c r="AD25" s="89"/>
      <c r="AE25" s="89"/>
      <c r="AF25" s="90"/>
    </row>
    <row r="26" spans="7:32" x14ac:dyDescent="0.25">
      <c r="Y26" s="63" t="s">
        <v>37</v>
      </c>
      <c r="Z26" s="60">
        <v>1</v>
      </c>
      <c r="AA26" s="62" t="s">
        <v>51</v>
      </c>
      <c r="AB26" s="89" t="s">
        <v>56</v>
      </c>
      <c r="AC26" s="89"/>
      <c r="AD26" s="89"/>
      <c r="AE26" s="89"/>
      <c r="AF26" s="90"/>
    </row>
    <row r="27" spans="7:32" ht="18" x14ac:dyDescent="0.35">
      <c r="Y27" s="59" t="s">
        <v>40</v>
      </c>
      <c r="Z27" s="60">
        <f>f_L*G^2/(gravity*Dhyd*rho_f*(rho_f-rho_g)*SQRT(alpha))</f>
        <v>103.03067227824978</v>
      </c>
      <c r="AA27" s="62" t="s">
        <v>51</v>
      </c>
      <c r="AB27" s="89" t="s">
        <v>80</v>
      </c>
      <c r="AC27" s="89"/>
      <c r="AD27" s="89"/>
      <c r="AE27" s="89"/>
      <c r="AF27" s="90"/>
    </row>
    <row r="28" spans="7:32" ht="18" x14ac:dyDescent="0.35">
      <c r="Y28" s="70" t="s">
        <v>48</v>
      </c>
      <c r="Z28" s="65">
        <f>IF(alpha_h&lt;0.8,1,(0.8+0.2*rho_f/rho_g)/(alpha_h+(1-alpha_h)*rho_f/rho_g))</f>
        <v>1</v>
      </c>
      <c r="AA28" s="66" t="s">
        <v>51</v>
      </c>
      <c r="AB28" s="91" t="s">
        <v>81</v>
      </c>
      <c r="AC28" s="91"/>
      <c r="AD28" s="91"/>
      <c r="AE28" s="91"/>
      <c r="AF28" s="92"/>
    </row>
  </sheetData>
  <mergeCells count="33">
    <mergeCell ref="U12:V12"/>
    <mergeCell ref="T4:V4"/>
    <mergeCell ref="U5:V5"/>
    <mergeCell ref="U6:V6"/>
    <mergeCell ref="U7:V7"/>
    <mergeCell ref="U8:V8"/>
    <mergeCell ref="U9:V9"/>
    <mergeCell ref="U10:V10"/>
    <mergeCell ref="AB13:AF13"/>
    <mergeCell ref="AB14:AF14"/>
    <mergeCell ref="AB15:AF15"/>
    <mergeCell ref="AB16:AF16"/>
    <mergeCell ref="G1:AE1"/>
    <mergeCell ref="G2:AE2"/>
    <mergeCell ref="Y4:AF4"/>
    <mergeCell ref="AB5:AF5"/>
    <mergeCell ref="AB6:AF6"/>
    <mergeCell ref="AB7:AF7"/>
    <mergeCell ref="AB8:AF8"/>
    <mergeCell ref="AB9:AF9"/>
    <mergeCell ref="AB11:AF11"/>
    <mergeCell ref="AB12:AF12"/>
    <mergeCell ref="AB10:AF10"/>
    <mergeCell ref="U11:V11"/>
    <mergeCell ref="AB26:AF26"/>
    <mergeCell ref="AB27:AF27"/>
    <mergeCell ref="AB28:AF28"/>
    <mergeCell ref="Y23:AF23"/>
    <mergeCell ref="AB17:AF17"/>
    <mergeCell ref="AB18:AF18"/>
    <mergeCell ref="AB19:AF19"/>
    <mergeCell ref="AB24:AF24"/>
    <mergeCell ref="AB25:AF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3"/>
  <sheetViews>
    <sheetView workbookViewId="0">
      <selection activeCell="O14" sqref="O14"/>
    </sheetView>
  </sheetViews>
  <sheetFormatPr defaultRowHeight="15" x14ac:dyDescent="0.25"/>
  <sheetData>
    <row r="1" spans="1:16" x14ac:dyDescent="0.25">
      <c r="A1" s="104" t="s">
        <v>19</v>
      </c>
      <c r="B1" s="105"/>
      <c r="C1" s="105"/>
    </row>
    <row r="2" spans="1:16" x14ac:dyDescent="0.25">
      <c r="A2" s="104"/>
      <c r="B2" s="105"/>
      <c r="C2" s="105"/>
    </row>
    <row r="5" spans="1:16" x14ac:dyDescent="0.25">
      <c r="D5" t="s">
        <v>18</v>
      </c>
      <c r="N5" t="s">
        <v>22</v>
      </c>
    </row>
    <row r="6" spans="1:16" x14ac:dyDescent="0.25">
      <c r="A6" s="11" t="s">
        <v>1</v>
      </c>
      <c r="B6" s="3" t="s">
        <v>2</v>
      </c>
      <c r="K6" s="11" t="s">
        <v>1</v>
      </c>
      <c r="L6" s="3" t="s">
        <v>2</v>
      </c>
    </row>
    <row r="7" spans="1:16" ht="17.25" x14ac:dyDescent="0.25">
      <c r="A7" s="11" t="s">
        <v>3</v>
      </c>
      <c r="B7" s="3" t="s">
        <v>6</v>
      </c>
      <c r="G7" t="s">
        <v>21</v>
      </c>
      <c r="K7" s="11" t="s">
        <v>3</v>
      </c>
      <c r="L7" s="3" t="s">
        <v>6</v>
      </c>
    </row>
    <row r="8" spans="1:16" x14ac:dyDescent="0.25">
      <c r="A8" s="4"/>
      <c r="B8" s="5" t="s">
        <v>4</v>
      </c>
      <c r="C8" s="12">
        <v>-0.2</v>
      </c>
      <c r="D8" s="13">
        <v>-0.1</v>
      </c>
      <c r="E8" s="13">
        <v>-0.05</v>
      </c>
      <c r="F8" s="14" t="s">
        <v>20</v>
      </c>
      <c r="G8" s="13">
        <v>-0.2</v>
      </c>
      <c r="H8" s="13">
        <v>-0.1</v>
      </c>
      <c r="I8" s="13">
        <v>-0.05</v>
      </c>
      <c r="K8" s="4"/>
      <c r="L8" s="5" t="s">
        <v>4</v>
      </c>
      <c r="M8" s="12">
        <v>-0.2</v>
      </c>
      <c r="N8" s="13">
        <v>-0.1</v>
      </c>
      <c r="O8" s="13">
        <v>-0.05</v>
      </c>
    </row>
    <row r="9" spans="1:16" x14ac:dyDescent="0.25">
      <c r="A9">
        <v>80</v>
      </c>
      <c r="B9" s="16">
        <v>400</v>
      </c>
      <c r="C9">
        <v>1105</v>
      </c>
      <c r="D9">
        <v>1013</v>
      </c>
      <c r="E9">
        <v>967.3</v>
      </c>
      <c r="F9" s="15">
        <v>295</v>
      </c>
      <c r="G9">
        <v>238</v>
      </c>
      <c r="H9">
        <v>267.5</v>
      </c>
      <c r="I9">
        <v>281.5</v>
      </c>
      <c r="K9">
        <v>80</v>
      </c>
      <c r="L9" s="16">
        <v>400</v>
      </c>
    </row>
    <row r="10" spans="1:16" x14ac:dyDescent="0.25">
      <c r="B10" s="17">
        <v>800</v>
      </c>
      <c r="C10">
        <v>1776</v>
      </c>
      <c r="D10">
        <v>1629</v>
      </c>
      <c r="E10">
        <v>1555</v>
      </c>
      <c r="L10" s="17">
        <v>800</v>
      </c>
    </row>
    <row r="11" spans="1:16" x14ac:dyDescent="0.25">
      <c r="B11" s="17">
        <v>1200</v>
      </c>
      <c r="C11">
        <v>2102</v>
      </c>
      <c r="D11">
        <v>1928</v>
      </c>
      <c r="E11">
        <v>1841</v>
      </c>
      <c r="L11" s="17">
        <v>1200</v>
      </c>
      <c r="O11">
        <v>5736.8</v>
      </c>
      <c r="P11">
        <f>O11/4</f>
        <v>1434.2</v>
      </c>
    </row>
    <row r="12" spans="1:16" x14ac:dyDescent="0.25">
      <c r="A12">
        <v>100</v>
      </c>
      <c r="B12" s="17">
        <v>400</v>
      </c>
      <c r="C12">
        <v>984.3</v>
      </c>
      <c r="D12">
        <v>901.4</v>
      </c>
      <c r="E12">
        <v>862.1</v>
      </c>
      <c r="F12">
        <v>311</v>
      </c>
      <c r="G12">
        <v>262</v>
      </c>
      <c r="H12">
        <v>288</v>
      </c>
      <c r="I12">
        <v>299.5</v>
      </c>
      <c r="K12">
        <v>100</v>
      </c>
      <c r="L12" s="17">
        <v>400</v>
      </c>
    </row>
    <row r="13" spans="1:16" x14ac:dyDescent="0.25">
      <c r="B13" s="17">
        <v>800</v>
      </c>
      <c r="C13">
        <v>1527</v>
      </c>
      <c r="D13">
        <v>1398</v>
      </c>
      <c r="E13">
        <v>1337</v>
      </c>
      <c r="L13" s="17">
        <v>800</v>
      </c>
    </row>
    <row r="14" spans="1:16" x14ac:dyDescent="0.25">
      <c r="B14" s="17">
        <v>1200</v>
      </c>
      <c r="C14">
        <v>1754</v>
      </c>
      <c r="D14">
        <v>1606</v>
      </c>
      <c r="E14">
        <v>1536</v>
      </c>
      <c r="L14" s="17">
        <v>1200</v>
      </c>
    </row>
    <row r="15" spans="1:16" x14ac:dyDescent="0.25">
      <c r="A15">
        <v>120</v>
      </c>
      <c r="B15" s="17">
        <v>400</v>
      </c>
      <c r="C15">
        <v>845.7</v>
      </c>
      <c r="D15">
        <v>774.8</v>
      </c>
      <c r="E15">
        <v>739.6</v>
      </c>
      <c r="F15">
        <v>324.7</v>
      </c>
      <c r="G15">
        <v>283.5</v>
      </c>
      <c r="H15">
        <v>305.5</v>
      </c>
      <c r="I15">
        <v>315.5</v>
      </c>
      <c r="K15">
        <v>120</v>
      </c>
      <c r="L15" s="17">
        <v>400</v>
      </c>
    </row>
    <row r="16" spans="1:16" x14ac:dyDescent="0.25">
      <c r="B16" s="17">
        <v>800</v>
      </c>
      <c r="C16">
        <v>1226</v>
      </c>
      <c r="D16">
        <v>1123</v>
      </c>
      <c r="E16">
        <v>1072</v>
      </c>
      <c r="L16" s="17">
        <v>800</v>
      </c>
    </row>
    <row r="17" spans="1:12" x14ac:dyDescent="0.25">
      <c r="B17" s="17">
        <v>1200</v>
      </c>
      <c r="C17">
        <v>1337</v>
      </c>
      <c r="D17">
        <v>1225</v>
      </c>
      <c r="E17">
        <v>1169</v>
      </c>
      <c r="L17" s="17">
        <v>1200</v>
      </c>
    </row>
    <row r="18" spans="1:12" x14ac:dyDescent="0.25">
      <c r="A18">
        <v>140</v>
      </c>
      <c r="B18" s="17">
        <v>400</v>
      </c>
      <c r="C18">
        <v>663.7</v>
      </c>
      <c r="D18">
        <v>608.6</v>
      </c>
      <c r="E18">
        <v>579.6</v>
      </c>
      <c r="F18">
        <v>336.7</v>
      </c>
      <c r="G18">
        <v>303</v>
      </c>
      <c r="H18">
        <v>321</v>
      </c>
      <c r="I18">
        <v>329.5</v>
      </c>
      <c r="K18">
        <v>140</v>
      </c>
      <c r="L18" s="17">
        <v>400</v>
      </c>
    </row>
    <row r="19" spans="1:12" x14ac:dyDescent="0.25">
      <c r="B19" s="17">
        <v>800</v>
      </c>
      <c r="C19">
        <v>851.9</v>
      </c>
      <c r="D19">
        <v>769.2</v>
      </c>
      <c r="E19">
        <v>732.5</v>
      </c>
      <c r="L19" s="17">
        <v>800</v>
      </c>
    </row>
    <row r="20" spans="1:12" x14ac:dyDescent="0.25">
      <c r="B20" s="17">
        <v>1200</v>
      </c>
      <c r="C20">
        <v>1134</v>
      </c>
      <c r="D20">
        <v>946</v>
      </c>
      <c r="E20">
        <v>846.9</v>
      </c>
      <c r="L20" s="17">
        <v>1200</v>
      </c>
    </row>
    <row r="21" spans="1:12" x14ac:dyDescent="0.25">
      <c r="A21">
        <v>160</v>
      </c>
      <c r="B21" s="17">
        <v>400</v>
      </c>
      <c r="C21">
        <v>412.7</v>
      </c>
      <c r="D21">
        <v>348.8</v>
      </c>
      <c r="E21">
        <v>317.39999999999998</v>
      </c>
      <c r="F21">
        <v>347.4</v>
      </c>
      <c r="G21">
        <v>322</v>
      </c>
      <c r="H21">
        <v>336</v>
      </c>
      <c r="I21">
        <v>342</v>
      </c>
      <c r="K21">
        <v>160</v>
      </c>
      <c r="L21" s="17">
        <v>400</v>
      </c>
    </row>
    <row r="22" spans="1:12" x14ac:dyDescent="0.25">
      <c r="B22" s="17">
        <v>800</v>
      </c>
      <c r="C22">
        <v>715.5</v>
      </c>
      <c r="D22">
        <v>595.6</v>
      </c>
      <c r="E22">
        <v>536.79999999999995</v>
      </c>
      <c r="L22" s="17">
        <v>800</v>
      </c>
    </row>
    <row r="23" spans="1:12" x14ac:dyDescent="0.25">
      <c r="B23" s="17">
        <v>1200</v>
      </c>
      <c r="C23">
        <v>961.1</v>
      </c>
      <c r="D23">
        <v>792.8</v>
      </c>
      <c r="E23">
        <v>710.1</v>
      </c>
      <c r="L23" s="17">
        <v>1200</v>
      </c>
    </row>
  </sheetData>
  <mergeCells count="1">
    <mergeCell ref="A1:C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2006 LUT</vt:lpstr>
      <vt:lpstr>Correction Factors K</vt:lpstr>
      <vt:lpstr>Sheet3</vt:lpstr>
      <vt:lpstr>alpha</vt:lpstr>
      <vt:lpstr>alpha_h</vt:lpstr>
      <vt:lpstr>C_1</vt:lpstr>
      <vt:lpstr>d</vt:lpstr>
      <vt:lpstr>delta</vt:lpstr>
      <vt:lpstr>Dhyd</vt:lpstr>
      <vt:lpstr>f_L</vt:lpstr>
      <vt:lpstr>G</vt:lpstr>
      <vt:lpstr>gravity</vt:lpstr>
      <vt:lpstr>K</vt:lpstr>
      <vt:lpstr>L</vt:lpstr>
      <vt:lpstr>Lsp</vt:lpstr>
      <vt:lpstr>Pitch</vt:lpstr>
      <vt:lpstr>q_BLA</vt:lpstr>
      <vt:lpstr>q_local</vt:lpstr>
      <vt:lpstr>qz_avg</vt:lpstr>
      <vt:lpstr>qz_max</vt:lpstr>
      <vt:lpstr>rho_f</vt:lpstr>
      <vt:lpstr>rho_g</vt:lpstr>
      <vt:lpstr>T_1</vt:lpstr>
      <vt:lpstr>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Scotty G</dc:creator>
  <cp:lastModifiedBy>msg839</cp:lastModifiedBy>
  <dcterms:created xsi:type="dcterms:W3CDTF">2012-11-10T21:08:11Z</dcterms:created>
  <dcterms:modified xsi:type="dcterms:W3CDTF">2015-04-15T21:18:45Z</dcterms:modified>
</cp:coreProperties>
</file>